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nown values" sheetId="2" state="visible" r:id="rId4"/>
    <sheet name="Sweep R41" sheetId="3" state="visible" r:id="rId5"/>
    <sheet name="Sweep R42" sheetId="4" state="visible" r:id="rId6"/>
    <sheet name="Toler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Set the other trimmer to this value (measure it out of circuit) before you start.</t>
        </r>
      </text>
    </comment>
  </commentList>
</comments>
</file>

<file path=xl/sharedStrings.xml><?xml version="1.0" encoding="utf-8"?>
<sst xmlns="http://schemas.openxmlformats.org/spreadsheetml/2006/main" count="131" uniqueCount="104">
  <si>
    <t xml:space="preserve">Furby Connect sleep-mask: trimmer sweep log</t>
  </si>
  <si>
    <t xml:space="preserve">Purpose</t>
  </si>
  <si>
    <t xml:space="preserve">Find the resistance bands the Furby accepts as personality codes, and any codes that map to nothing, by stepping R41 and R42 and logging what the Furby and app do.</t>
  </si>
  <si>
    <t xml:space="preserve">Model used (inferred from the schematic and your voltage table, not yet confirmed on a scope)</t>
  </si>
  <si>
    <t xml:space="preserve">The host pulls J5-7 low, then J5-8 low, and reads the voltage on J5-4. R62 (100k to 3V3) pulls J5-4 up, so J5-4 = Vcc x R / (R + R62), where R is R41 for the J5-7 reading and R42 for the J5-8 reading.</t>
  </si>
  <si>
    <t xml:space="preserve">Before you start</t>
  </si>
  <si>
    <t xml:space="preserve">1. Build a test mask: your board or perfboard with R41 and R42 replaced by multi-turn trimmers (about 500k for R41, 200k for R42). Keep a fixed 1k resistor in series with each trimmer so the host never sees a dead short.</t>
  </si>
  <si>
    <t xml:space="preserve">2. Optional bench check first: power the test mask from a bench 3.3 V supply, ground J5-7 with a wire, and read J5-4 with a meter. It should match column D of the sweep sheets. Repeat with J5-8 grounded. This confirms your trimmer settings without involving the Furby.</t>
  </si>
  <si>
    <t xml:space="preserve">3. Confirm the model on a stock mask with a scope on J5-7, J5-8 and J5-4. You should see J5-7 and J5-8 go low one at a time while J5-4 settles between them (about 10 ms).</t>
  </si>
  <si>
    <t xml:space="preserve">Procedure for each row</t>
  </si>
  <si>
    <t xml:space="preserve">1. Set the trimmer to the value in column B. Remove it from the circuit and measure it with a meter; record that in column C. Use the measured value, not the dial, when you read the results.</t>
  </si>
  <si>
    <t xml:space="preserve">2. Fit the mask, power the Furby, and wait a few seconds. Record the voltage on J5-4 if you can (column E).</t>
  </si>
  <si>
    <t xml:space="preserve">3. Note which mask or behaviour the app shows and the PhygitalID if visible. If nothing changes, try re-seating the mask or rebooting the Furby, because it may only sample at insertion or wake. Record that in the Y/N column.</t>
  </si>
  <si>
    <t xml:space="preserve">4. Move on. Do the Sweep R41 sheet first, then Sweep R42, then Tolerance.</t>
  </si>
  <si>
    <t xml:space="preserve">Cautions</t>
  </si>
  <si>
    <t xml:space="preserve">Only the three pins J5-4, J5-7, J5-8 plus 3V3 and GND matter for the resistor version. Leave J5-3, J5-5 and J5-6 unconnected. Do not short J5-7 to J5-8 directly. Use only the Furby's own supply or a 3.3 V bench supply with a current limit.</t>
  </si>
  <si>
    <t xml:space="preserve">Changing the mask resistors does not write to the Furby's memory, but unknown codes could trigger unusual behaviour, so power-cycle if anything looks stuck.</t>
  </si>
  <si>
    <t xml:space="preserve">Legend and assumptions</t>
  </si>
  <si>
    <t xml:space="preserve">Blue text on yellow = you fill in. Black = formula. Green = linked from another sheet. Grey italic row = example (delete it).</t>
  </si>
  <si>
    <t xml:space="preserve">Assumed: Vcc = 3.3 V and R62 = 100k (both editable on the Known values sheet). PhygitalIDs are inferred from the app's string order.</t>
  </si>
  <si>
    <t xml:space="preserve">The 'nearest known code' column is only the closest known voltage. The firmware's real band edges are unknown: finding them is the point of the sweep.</t>
  </si>
  <si>
    <t xml:space="preserve">Known mask codes (from the voltage table you supplied)</t>
  </si>
  <si>
    <t xml:space="preserve">Vcc (V)</t>
  </si>
  <si>
    <t xml:space="preserve">Assumed 3.3 V (schematic +3V3). The GPL162004A datasheet lists a typical AVDD of 3.0 V, so change this if readings are scaled.</t>
  </si>
  <si>
    <t xml:space="preserve">R62 pull-up (kΩ)</t>
  </si>
  <si>
    <t xml:space="preserve">From schematic: R62 = 100k from +3V3 to J5-4.</t>
  </si>
  <si>
    <t xml:space="preserve">State</t>
  </si>
  <si>
    <t xml:space="preserve">App PhygitalID</t>
  </si>
  <si>
    <t xml:space="preserve">V at J5-4, J5-7 low (V)</t>
  </si>
  <si>
    <t xml:space="preserve">V at J5-4, J5-8 low (V)</t>
  </si>
  <si>
    <t xml:space="preserve">Implied R41 (kΩ)</t>
  </si>
  <si>
    <t xml:space="preserve">Implied R42 (kΩ)</t>
  </si>
  <si>
    <t xml:space="preserve">Suggested std R41 (kΩ)</t>
  </si>
  <si>
    <t xml:space="preserve">Suggested std R42 (kΩ)</t>
  </si>
  <si>
    <t xml:space="preserve">Gap to next code (V)</t>
  </si>
  <si>
    <t xml:space="preserve">Gap midpoint (V)</t>
  </si>
  <si>
    <t xml:space="preserve">R41 for gap midpoint (kΩ)</t>
  </si>
  <si>
    <t xml:space="preserve">Sleep (backup)</t>
  </si>
  <si>
    <t xml:space="preserve">n/a</t>
  </si>
  <si>
    <t xml:space="preserve">Sleep</t>
  </si>
  <si>
    <t xml:space="preserve">0 / None (assumed)</t>
  </si>
  <si>
    <t xml:space="preserve">Princess</t>
  </si>
  <si>
    <t xml:space="preserve">Ninja</t>
  </si>
  <si>
    <t xml:space="preserve">Popstar</t>
  </si>
  <si>
    <t xml:space="preserve">Pirate</t>
  </si>
  <si>
    <t xml:space="preserve">DJ</t>
  </si>
  <si>
    <t xml:space="preserve">Cat</t>
  </si>
  <si>
    <t xml:space="preserve">Notes</t>
  </si>
  <si>
    <t xml:space="preserve">1. Columns C and D are the values you supplied (blue = hardcoded input). E and F are back-calculated with R = R62 x V / (Vcc - V).</t>
  </si>
  <si>
    <t xml:space="preserve">2. Model (inferred from the circuit, not confirmed on a scope): the host pulls J5-7 low and reads J5-4, then pulls J5-8 low and reads J5-4.</t>
  </si>
  <si>
    <t xml:space="preserve">3. Suggested standard values (G, H) are my rounding of E and F to a nearby standard value; the J5-8 column is the least certain.</t>
  </si>
  <si>
    <t xml:space="preserve">4. PhygitalIDs come from the order of the strings in the app's furbymasks file; Sleep = None = 0 is an assumption.</t>
  </si>
  <si>
    <t xml:space="preserve">5. Rows must stay sorted ascending by column C, because the sweep sheet uses MATCH(...,1) on it.</t>
  </si>
  <si>
    <t xml:space="preserve">6. Green cells in column I mark gaps larger than 0.4 V: the best places to look for an unused code. Column K is the R41 value that lands in the middle of each gap.</t>
  </si>
  <si>
    <t xml:space="preserve">Sweep 1: step R41 (J5-7 reading), R42 fixed</t>
  </si>
  <si>
    <t xml:space="preserve">R42 fixed at (kΩ)</t>
  </si>
  <si>
    <t xml:space="preserve">Hold R42 at a known value while you sweep R41. 110k = the Sleep board; use 100 to match Pirate.</t>
  </si>
  <si>
    <t xml:space="preserve">Vcc (V) / R62 (kΩ)</t>
  </si>
  <si>
    <t xml:space="preserve">Legend: blue on yellow = you fill in; black = formula; green = linked from another sheet; grey italic row = example, delete it.</t>
  </si>
  <si>
    <t xml:space="preserve">Step</t>
  </si>
  <si>
    <t xml:space="preserve">R41 set (kΩ)</t>
  </si>
  <si>
    <t xml:space="preserve">Trimmer value measured out of circuit (kΩ)</t>
  </si>
  <si>
    <t xml:space="preserve">Expected V at J5-4, J5-7 low (V)</t>
  </si>
  <si>
    <t xml:space="preserve">Measured V at J5-4 (V)</t>
  </si>
  <si>
    <t xml:space="preserve">Error (mV)</t>
  </si>
  <si>
    <t xml:space="preserve">Nearest known code (by voltage)</t>
  </si>
  <si>
    <t xml:space="preserve">Mask / behaviour seen in the app</t>
  </si>
  <si>
    <t xml:space="preserve">App PhygitalID shown</t>
  </si>
  <si>
    <t xml:space="preserve">Needed re-seat or reboot? (Y/N)</t>
  </si>
  <si>
    <t xml:space="preserve">EXAMPLE</t>
  </si>
  <si>
    <t xml:space="preserve">Pirate transition</t>
  </si>
  <si>
    <t xml:space="preserve">N</t>
  </si>
  <si>
    <t xml:space="preserve">example only - delete</t>
  </si>
  <si>
    <t xml:space="preserve">open (no R41)</t>
  </si>
  <si>
    <t xml:space="preserve">gap 1</t>
  </si>
  <si>
    <t xml:space="preserve">gap 2</t>
  </si>
  <si>
    <t xml:space="preserve">gap 3</t>
  </si>
  <si>
    <t xml:space="preserve">gap 4</t>
  </si>
  <si>
    <t xml:space="preserve">gap 5</t>
  </si>
  <si>
    <t xml:space="preserve">gap 6</t>
  </si>
  <si>
    <t xml:space="preserve">gap 7</t>
  </si>
  <si>
    <t xml:space="preserve">Rows 'gap 1-7' are the R41 values that land midway between neighbouring known codes (from the Known values sheet): the most likely places to find an unused or undefined code.</t>
  </si>
  <si>
    <t xml:space="preserve">Sweep 2: step R42 (J5-8 reading), R41 fixed</t>
  </si>
  <si>
    <t xml:space="preserve">R41 fixed at (kΩ)</t>
  </si>
  <si>
    <t xml:space="preserve">Hold R41 at a known personality value while you sweep R42. 100k = Pirate; choose another from the Known values sheet.</t>
  </si>
  <si>
    <t xml:space="preserve">R42 set (kΩ)</t>
  </si>
  <si>
    <t xml:space="preserve">Expected V at J5-4, J5-8 low (V)</t>
  </si>
  <si>
    <t xml:space="preserve">Sleep (no change)</t>
  </si>
  <si>
    <t xml:space="preserve">open (no R42)</t>
  </si>
  <si>
    <t xml:space="preserve">Tolerance test: how far can a resistor drift before the code changes?</t>
  </si>
  <si>
    <t xml:space="preserve">Personality to test</t>
  </si>
  <si>
    <t xml:space="preserve">Pick from the list. Nominal R41 and R42 come from the implied values on the Known values sheet.</t>
  </si>
  <si>
    <t xml:space="preserve">Nominal R41 (kΩ)</t>
  </si>
  <si>
    <t xml:space="preserve">Nominal R42 (kΩ)</t>
  </si>
  <si>
    <t xml:space="preserve">Block A: vary R41, keep R42 at nominal</t>
  </si>
  <si>
    <t xml:space="preserve">Set R42 to its nominal value first (measure it out of circuit).</t>
  </si>
  <si>
    <t xml:space="preserve">% of nominal</t>
  </si>
  <si>
    <t xml:space="preserve">Resistor set (kΩ)</t>
  </si>
  <si>
    <t xml:space="preserve">Expected V (V)</t>
  </si>
  <si>
    <t xml:space="preserve">Shift from nominal (mV)</t>
  </si>
  <si>
    <t xml:space="preserve">Measured V (V)</t>
  </si>
  <si>
    <t xml:space="preserve">Same code as nominal? (Y/N)</t>
  </si>
  <si>
    <t xml:space="preserve">Block B: vary R42, keep R41 at nominal</t>
  </si>
  <si>
    <t xml:space="preserve">Set R41 to its nominal value first (measure it out of circuit).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</si>
</sst>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EEEEEE"/>
      </patternFill>
    </fill>
    <fill>
      <patternFill patternType="solid">
        <fgColor rgb="FF404040"/>
        <bgColor rgb="FF333300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7.75" hidden="false" customHeight="tru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27.75" hidden="false" customHeight="tru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5</v>
      </c>
    </row>
    <row r="10" customFormat="false" ht="27.75" hidden="false" customHeight="true" outlineLevel="0" collapsed="false">
      <c r="A10" s="3" t="s">
        <v>6</v>
      </c>
    </row>
    <row r="11" customFormat="false" ht="42" hidden="false" customHeight="true" outlineLevel="0" collapsed="false">
      <c r="A11" s="3" t="s">
        <v>7</v>
      </c>
    </row>
    <row r="12" customFormat="false" ht="27.75" hidden="false" customHeight="tru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9</v>
      </c>
    </row>
    <row r="15" customFormat="false" ht="27.75" hidden="false" customHeight="tru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27.75" hidden="false" customHeight="tru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14</v>
      </c>
    </row>
    <row r="21" customFormat="false" ht="42" hidden="false" customHeight="true" outlineLevel="0" collapsed="false">
      <c r="A21" s="3" t="s">
        <v>15</v>
      </c>
    </row>
    <row r="22" customFormat="false" ht="27.75" hidden="false" customHeight="tru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17</v>
      </c>
    </row>
    <row r="25" customFormat="false" ht="27.75" hidden="false" customHeight="true" outlineLevel="0" collapsed="false">
      <c r="A25" s="3" t="s">
        <v>18</v>
      </c>
    </row>
    <row r="26" customFormat="false" ht="27.75" hidden="false" customHeight="true" outlineLevel="0" collapsed="false">
      <c r="A26" s="3" t="s">
        <v>19</v>
      </c>
    </row>
    <row r="27" customFormat="false" ht="27.75" hidden="false" customHeight="true" outlineLevel="0" collapsed="false">
      <c r="A27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4" t="s">
        <v>22</v>
      </c>
      <c r="B3" s="5" t="n">
        <v>3.3</v>
      </c>
      <c r="C3" s="6" t="s">
        <v>23</v>
      </c>
    </row>
    <row r="4" customFormat="false" ht="15" hidden="false" customHeight="false" outlineLevel="0" collapsed="false">
      <c r="A4" s="4" t="s">
        <v>24</v>
      </c>
      <c r="B4" s="5" t="n">
        <v>100</v>
      </c>
      <c r="C4" s="6" t="s">
        <v>25</v>
      </c>
    </row>
    <row r="7" customFormat="false" ht="42" hidden="false" customHeight="true" outlineLevel="0" collapsed="false">
      <c r="A7" s="7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</row>
    <row r="8" customFormat="false" ht="15" hidden="false" customHeight="false" outlineLevel="0" collapsed="false">
      <c r="A8" s="8" t="s">
        <v>37</v>
      </c>
      <c r="B8" s="9" t="s">
        <v>38</v>
      </c>
      <c r="C8" s="10" t="n">
        <v>0.173</v>
      </c>
      <c r="D8" s="10" t="n">
        <v>1.732</v>
      </c>
      <c r="E8" s="11" t="n">
        <f aca="false">$B$4*C8/($B$3-C8)</f>
        <v>5.5324592260953</v>
      </c>
      <c r="F8" s="11" t="n">
        <f aca="false">$B$4*D8/($B$3-D8)</f>
        <v>110.459183673469</v>
      </c>
      <c r="G8" s="12" t="n">
        <v>5.6</v>
      </c>
      <c r="H8" s="12" t="n">
        <v>110</v>
      </c>
      <c r="I8" s="13" t="n">
        <f aca="false">C9-C8</f>
        <v>0.328</v>
      </c>
      <c r="J8" s="13" t="n">
        <f aca="false">(C8+C9)/2</f>
        <v>0.337</v>
      </c>
      <c r="K8" s="11" t="n">
        <f aca="false">$B$4*J8/($B$3-J8)</f>
        <v>11.3736078299021</v>
      </c>
    </row>
    <row r="9" customFormat="false" ht="15" hidden="false" customHeight="false" outlineLevel="0" collapsed="false">
      <c r="A9" s="8" t="s">
        <v>39</v>
      </c>
      <c r="B9" s="9" t="s">
        <v>40</v>
      </c>
      <c r="C9" s="10" t="n">
        <v>0.501</v>
      </c>
      <c r="D9" s="10" t="n">
        <v>1.732</v>
      </c>
      <c r="E9" s="11" t="n">
        <f aca="false">$B$4*C9/($B$3-C9)</f>
        <v>17.8992497320472</v>
      </c>
      <c r="F9" s="11" t="n">
        <f aca="false">$B$4*D9/($B$3-D9)</f>
        <v>110.459183673469</v>
      </c>
      <c r="G9" s="12" t="n">
        <v>18</v>
      </c>
      <c r="H9" s="12" t="n">
        <v>110</v>
      </c>
      <c r="I9" s="13" t="n">
        <f aca="false">C10-C9</f>
        <v>0.492</v>
      </c>
      <c r="J9" s="13" t="n">
        <f aca="false">(C9+C10)/2</f>
        <v>0.747</v>
      </c>
      <c r="K9" s="11" t="n">
        <f aca="false">$B$4*J9/($B$3-J9)</f>
        <v>29.2596944770858</v>
      </c>
    </row>
    <row r="10" customFormat="false" ht="15" hidden="false" customHeight="false" outlineLevel="0" collapsed="false">
      <c r="A10" s="8" t="s">
        <v>41</v>
      </c>
      <c r="B10" s="9" t="n">
        <v>2</v>
      </c>
      <c r="C10" s="10" t="n">
        <v>0.993</v>
      </c>
      <c r="D10" s="10" t="n">
        <v>1.72</v>
      </c>
      <c r="E10" s="11" t="n">
        <f aca="false">$B$4*C10/($B$3-C10)</f>
        <v>43.0429128738622</v>
      </c>
      <c r="F10" s="11" t="n">
        <f aca="false">$B$4*D10/($B$3-D10)</f>
        <v>108.860759493671</v>
      </c>
      <c r="G10" s="12" t="n">
        <v>43</v>
      </c>
      <c r="H10" s="12" t="n">
        <v>110</v>
      </c>
      <c r="I10" s="13" t="n">
        <f aca="false">C11-C10</f>
        <v>0.198</v>
      </c>
      <c r="J10" s="13" t="n">
        <f aca="false">(C10+C11)/2</f>
        <v>1.092</v>
      </c>
      <c r="K10" s="11" t="n">
        <f aca="false">$B$4*J10/($B$3-J10)</f>
        <v>49.4565217391304</v>
      </c>
    </row>
    <row r="11" customFormat="false" ht="15" hidden="false" customHeight="false" outlineLevel="0" collapsed="false">
      <c r="A11" s="8" t="s">
        <v>42</v>
      </c>
      <c r="B11" s="9" t="n">
        <v>3</v>
      </c>
      <c r="C11" s="10" t="n">
        <v>1.191</v>
      </c>
      <c r="D11" s="10" t="n">
        <v>1.614</v>
      </c>
      <c r="E11" s="11" t="n">
        <f aca="false">$B$4*C11/($B$3-C11)</f>
        <v>56.4722617354196</v>
      </c>
      <c r="F11" s="11" t="n">
        <f aca="false">$B$4*D11/($B$3-D11)</f>
        <v>95.7295373665481</v>
      </c>
      <c r="G11" s="12" t="n">
        <v>56</v>
      </c>
      <c r="H11" s="12" t="n">
        <v>100</v>
      </c>
      <c r="I11" s="13" t="n">
        <f aca="false">C12-C11</f>
        <v>0.154</v>
      </c>
      <c r="J11" s="13" t="n">
        <f aca="false">(C11+C12)/2</f>
        <v>1.268</v>
      </c>
      <c r="K11" s="11" t="n">
        <f aca="false">$B$4*J11/($B$3-J11)</f>
        <v>62.4015748031496</v>
      </c>
    </row>
    <row r="12" customFormat="false" ht="15" hidden="false" customHeight="false" outlineLevel="0" collapsed="false">
      <c r="A12" s="8" t="s">
        <v>43</v>
      </c>
      <c r="B12" s="9" t="n">
        <v>6</v>
      </c>
      <c r="C12" s="10" t="n">
        <v>1.345</v>
      </c>
      <c r="D12" s="10" t="n">
        <v>1.708</v>
      </c>
      <c r="E12" s="11" t="n">
        <f aca="false">$B$4*C12/($B$3-C12)</f>
        <v>68.7979539641944</v>
      </c>
      <c r="F12" s="11" t="n">
        <f aca="false">$B$4*D12/($B$3-D12)</f>
        <v>107.286432160804</v>
      </c>
      <c r="G12" s="12" t="n">
        <v>68</v>
      </c>
      <c r="H12" s="12" t="n">
        <v>110</v>
      </c>
      <c r="I12" s="13" t="n">
        <f aca="false">C13-C12</f>
        <v>0.316</v>
      </c>
      <c r="J12" s="13" t="n">
        <f aca="false">(C12+C13)/2</f>
        <v>1.503</v>
      </c>
      <c r="K12" s="11" t="n">
        <f aca="false">$B$4*J12/($B$3-J12)</f>
        <v>83.6393989983306</v>
      </c>
    </row>
    <row r="13" customFormat="false" ht="15" hidden="false" customHeight="false" outlineLevel="0" collapsed="false">
      <c r="A13" s="8" t="s">
        <v>44</v>
      </c>
      <c r="B13" s="9" t="n">
        <v>4</v>
      </c>
      <c r="C13" s="10" t="n">
        <v>1.661</v>
      </c>
      <c r="D13" s="10" t="n">
        <v>1.661</v>
      </c>
      <c r="E13" s="11" t="n">
        <f aca="false">$B$4*C13/($B$3-C13)</f>
        <v>101.342281879195</v>
      </c>
      <c r="F13" s="11" t="n">
        <f aca="false">$B$4*D13/($B$3-D13)</f>
        <v>101.342281879195</v>
      </c>
      <c r="G13" s="12" t="n">
        <v>100</v>
      </c>
      <c r="H13" s="12" t="n">
        <v>100</v>
      </c>
      <c r="I13" s="13" t="n">
        <f aca="false">C14-C13</f>
        <v>0.456</v>
      </c>
      <c r="J13" s="13" t="n">
        <f aca="false">(C13+C14)/2</f>
        <v>1.889</v>
      </c>
      <c r="K13" s="11" t="n">
        <f aca="false">$B$4*J13/($B$3-J13)</f>
        <v>133.876683203402</v>
      </c>
    </row>
    <row r="14" customFormat="false" ht="15" hidden="false" customHeight="false" outlineLevel="0" collapsed="false">
      <c r="A14" s="8" t="s">
        <v>45</v>
      </c>
      <c r="B14" s="9" t="n">
        <v>1</v>
      </c>
      <c r="C14" s="10" t="n">
        <v>2.117</v>
      </c>
      <c r="D14" s="10" t="n">
        <v>1.579</v>
      </c>
      <c r="E14" s="11" t="n">
        <f aca="false">$B$4*C14/($B$3-C14)</f>
        <v>178.951817413356</v>
      </c>
      <c r="F14" s="11" t="n">
        <f aca="false">$B$4*D14/($B$3-D14)</f>
        <v>91.7489831493318</v>
      </c>
      <c r="G14" s="12" t="n">
        <v>180</v>
      </c>
      <c r="H14" s="12" t="n">
        <v>91</v>
      </c>
      <c r="I14" s="13" t="n">
        <f aca="false">C15-C14</f>
        <v>0.388</v>
      </c>
      <c r="J14" s="13" t="n">
        <f aca="false">(C14+C15)/2</f>
        <v>2.311</v>
      </c>
      <c r="K14" s="11" t="n">
        <f aca="false">$B$4*J14/($B$3-J14)</f>
        <v>233.670374115268</v>
      </c>
    </row>
    <row r="15" customFormat="false" ht="15" hidden="false" customHeight="false" outlineLevel="0" collapsed="false">
      <c r="A15" s="8" t="s">
        <v>46</v>
      </c>
      <c r="B15" s="9" t="n">
        <v>5</v>
      </c>
      <c r="C15" s="10" t="n">
        <v>2.505</v>
      </c>
      <c r="D15" s="10" t="n">
        <v>1.554</v>
      </c>
      <c r="E15" s="11" t="n">
        <f aca="false">$B$4*C15/($B$3-C15)</f>
        <v>315.094339622642</v>
      </c>
      <c r="F15" s="11" t="n">
        <f aca="false">$B$4*D15/($B$3-D15)</f>
        <v>89.0034364261169</v>
      </c>
      <c r="G15" s="12" t="n">
        <v>330</v>
      </c>
      <c r="H15" s="12" t="n">
        <v>91</v>
      </c>
      <c r="I15" s="13"/>
      <c r="J15" s="13"/>
      <c r="K15" s="11"/>
    </row>
    <row r="18" customFormat="false" ht="15" hidden="false" customHeight="false" outlineLevel="0" collapsed="false">
      <c r="A18" s="4" t="s">
        <v>47</v>
      </c>
    </row>
    <row r="19" customFormat="false" ht="15" hidden="false" customHeight="false" outlineLevel="0" collapsed="false">
      <c r="A19" s="14" t="s">
        <v>48</v>
      </c>
    </row>
    <row r="20" customFormat="false" ht="15" hidden="false" customHeight="false" outlineLevel="0" collapsed="false">
      <c r="A20" s="14" t="s">
        <v>49</v>
      </c>
    </row>
    <row r="21" customFormat="false" ht="15" hidden="false" customHeight="false" outlineLevel="0" collapsed="false">
      <c r="A21" s="14" t="s">
        <v>50</v>
      </c>
    </row>
    <row r="22" customFormat="false" ht="15" hidden="false" customHeight="false" outlineLevel="0" collapsed="false">
      <c r="A22" s="14" t="s">
        <v>51</v>
      </c>
    </row>
    <row r="23" customFormat="false" ht="15" hidden="false" customHeight="false" outlineLevel="0" collapsed="false">
      <c r="A23" s="14" t="s">
        <v>52</v>
      </c>
    </row>
    <row r="24" customFormat="false" ht="15" hidden="false" customHeight="false" outlineLevel="0" collapsed="false">
      <c r="A24" s="14" t="s">
        <v>53</v>
      </c>
    </row>
  </sheetData>
  <conditionalFormatting sqref="I8:I14">
    <cfRule type="cellIs" priority="2" operator="greaterThan" aboveAverage="0" equalAverage="0" bottom="0" percent="0" rank="0" text="" dxfId="0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4" t="s">
        <v>55</v>
      </c>
      <c r="B3" s="5" t="n">
        <v>110</v>
      </c>
      <c r="C3" s="6" t="s">
        <v>56</v>
      </c>
    </row>
    <row r="4" customFormat="false" ht="15" hidden="false" customHeight="false" outlineLevel="0" collapsed="false">
      <c r="A4" s="4" t="s">
        <v>57</v>
      </c>
      <c r="B4" s="15" t="n">
        <f aca="false">'Known values'!$B$3</f>
        <v>3.3</v>
      </c>
      <c r="C4" s="15" t="n">
        <f aca="false">'Known values'!$B$4</f>
        <v>100</v>
      </c>
    </row>
    <row r="5" customFormat="false" ht="15" hidden="false" customHeight="false" outlineLevel="0" collapsed="false">
      <c r="A5" s="6" t="s">
        <v>58</v>
      </c>
    </row>
    <row r="7" customFormat="false" ht="55.5" hidden="false" customHeight="true" outlineLevel="0" collapsed="false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65</v>
      </c>
      <c r="H7" s="7" t="s">
        <v>66</v>
      </c>
      <c r="I7" s="7" t="s">
        <v>67</v>
      </c>
      <c r="J7" s="7" t="s">
        <v>68</v>
      </c>
      <c r="K7" s="7" t="s">
        <v>47</v>
      </c>
    </row>
    <row r="8" customFormat="false" ht="15" hidden="false" customHeight="false" outlineLevel="0" collapsed="false">
      <c r="A8" s="16" t="s">
        <v>69</v>
      </c>
      <c r="B8" s="17" t="n">
        <v>100</v>
      </c>
      <c r="C8" s="17" t="n">
        <v>100.3</v>
      </c>
      <c r="D8" s="18" t="n">
        <f aca="false">'Known values'!$B$3*B8/(B8+'Known values'!$B$4)</f>
        <v>1.65</v>
      </c>
      <c r="E8" s="18" t="n">
        <v>1.661</v>
      </c>
      <c r="F8" s="17" t="n">
        <f aca="false">IF(E8="","",(E8-D8)*1000)</f>
        <v>11.0000000000001</v>
      </c>
      <c r="G8" s="16" t="str">
        <f aca="false">IF(D8&lt;MIN('Known values'!$C$8:$C$15),INDEX('Known values'!$A$8:$A$15,1),IF(D8&gt;=MAX('Known values'!$C$8:$C$15),INDEX('Known values'!$A$8:$A$15,ROWS('Known values'!$A$8:$A$15)),IF(D8-INDEX('Known values'!$C$8:$C$15,MATCH(D8,'Known values'!$C$8:$C$15,1))&lt;=INDEX('Known values'!$C$8:$C$15,MATCH(D8,'Known values'!$C$8:$C$15,1)+1)-D8,INDEX('Known values'!$A$8:$A$15,MATCH(D8,'Known values'!$C$8:$C$15,1)),INDEX('Known values'!$A$8:$A$15,MATCH(D8,'Known values'!$C$8:$C$15,1)+1))))</f>
        <v>Pirate</v>
      </c>
      <c r="H8" s="16" t="s">
        <v>70</v>
      </c>
      <c r="I8" s="16" t="n">
        <v>4</v>
      </c>
      <c r="J8" s="16" t="s">
        <v>71</v>
      </c>
      <c r="K8" s="16" t="s">
        <v>72</v>
      </c>
    </row>
    <row r="9" customFormat="false" ht="15" hidden="false" customHeight="false" outlineLevel="0" collapsed="false">
      <c r="A9" s="8" t="n">
        <v>1</v>
      </c>
      <c r="B9" s="19" t="n">
        <v>1</v>
      </c>
      <c r="C9" s="19"/>
      <c r="D9" s="13" t="n">
        <f aca="false">'Known values'!$B$3*B9/(B9+'Known values'!$B$4)</f>
        <v>0.0326732673267327</v>
      </c>
      <c r="E9" s="20"/>
      <c r="F9" s="11" t="str">
        <f aca="false">IF(E9="","",(E9-D9)*1000)</f>
        <v/>
      </c>
      <c r="G9" s="8" t="str">
        <f aca="false">IF(D9&lt;MIN('Known values'!$C$8:$C$15),INDEX('Known values'!$A$8:$A$15,1),IF(D9&gt;=MAX('Known values'!$C$8:$C$15),INDEX('Known values'!$A$8:$A$15,ROWS('Known values'!$A$8:$A$15)),IF(D9-INDEX('Known values'!$C$8:$C$15,MATCH(D9,'Known values'!$C$8:$C$15,1))&lt;=INDEX('Known values'!$C$8:$C$15,MATCH(D9,'Known values'!$C$8:$C$15,1)+1)-D9,INDEX('Known values'!$A$8:$A$15,MATCH(D9,'Known values'!$C$8:$C$15,1)),INDEX('Known values'!$A$8:$A$15,MATCH(D9,'Known values'!$C$8:$C$15,1)+1))))</f>
        <v>Sleep (backup)</v>
      </c>
      <c r="H9" s="21"/>
      <c r="I9" s="21"/>
      <c r="J9" s="21"/>
      <c r="K9" s="21"/>
    </row>
    <row r="10" customFormat="false" ht="15" hidden="false" customHeight="false" outlineLevel="0" collapsed="false">
      <c r="A10" s="8" t="n">
        <v>2</v>
      </c>
      <c r="B10" s="19" t="n">
        <v>2.2</v>
      </c>
      <c r="C10" s="19"/>
      <c r="D10" s="13" t="n">
        <f aca="false">'Known values'!$B$3*B10/(B10+'Known values'!$B$4)</f>
        <v>0.0710371819960861</v>
      </c>
      <c r="E10" s="20"/>
      <c r="F10" s="11" t="str">
        <f aca="false">IF(E10="","",(E10-D10)*1000)</f>
        <v/>
      </c>
      <c r="G10" s="8" t="str">
        <f aca="false">IF(D10&lt;MIN('Known values'!$C$8:$C$15),INDEX('Known values'!$A$8:$A$15,1),IF(D10&gt;=MAX('Known values'!$C$8:$C$15),INDEX('Known values'!$A$8:$A$15,ROWS('Known values'!$A$8:$A$15)),IF(D10-INDEX('Known values'!$C$8:$C$15,MATCH(D10,'Known values'!$C$8:$C$15,1))&lt;=INDEX('Known values'!$C$8:$C$15,MATCH(D10,'Known values'!$C$8:$C$15,1)+1)-D10,INDEX('Known values'!$A$8:$A$15,MATCH(D10,'Known values'!$C$8:$C$15,1)),INDEX('Known values'!$A$8:$A$15,MATCH(D10,'Known values'!$C$8:$C$15,1)+1))))</f>
        <v>Sleep (backup)</v>
      </c>
      <c r="H10" s="21"/>
      <c r="I10" s="21"/>
      <c r="J10" s="21"/>
      <c r="K10" s="21"/>
    </row>
    <row r="11" customFormat="false" ht="15" hidden="false" customHeight="false" outlineLevel="0" collapsed="false">
      <c r="A11" s="8" t="n">
        <v>3</v>
      </c>
      <c r="B11" s="19" t="n">
        <v>5.6</v>
      </c>
      <c r="C11" s="19"/>
      <c r="D11" s="13" t="n">
        <f aca="false">'Known values'!$B$3*B11/(B11+'Known values'!$B$4)</f>
        <v>0.175</v>
      </c>
      <c r="E11" s="20"/>
      <c r="F11" s="11" t="str">
        <f aca="false">IF(E11="","",(E11-D11)*1000)</f>
        <v/>
      </c>
      <c r="G11" s="8" t="str">
        <f aca="false">IF(D11&lt;MIN('Known values'!$C$8:$C$15),INDEX('Known values'!$A$8:$A$15,1),IF(D11&gt;=MAX('Known values'!$C$8:$C$15),INDEX('Known values'!$A$8:$A$15,ROWS('Known values'!$A$8:$A$15)),IF(D11-INDEX('Known values'!$C$8:$C$15,MATCH(D11,'Known values'!$C$8:$C$15,1))&lt;=INDEX('Known values'!$C$8:$C$15,MATCH(D11,'Known values'!$C$8:$C$15,1)+1)-D11,INDEX('Known values'!$A$8:$A$15,MATCH(D11,'Known values'!$C$8:$C$15,1)),INDEX('Known values'!$A$8:$A$15,MATCH(D11,'Known values'!$C$8:$C$15,1)+1))))</f>
        <v>Sleep (backup)</v>
      </c>
      <c r="H11" s="21"/>
      <c r="I11" s="21"/>
      <c r="J11" s="21"/>
      <c r="K11" s="21"/>
    </row>
    <row r="12" customFormat="false" ht="15" hidden="false" customHeight="false" outlineLevel="0" collapsed="false">
      <c r="A12" s="8" t="n">
        <v>4</v>
      </c>
      <c r="B12" s="19" t="n">
        <v>10</v>
      </c>
      <c r="C12" s="19"/>
      <c r="D12" s="13" t="n">
        <f aca="false">'Known values'!$B$3*B12/(B12+'Known values'!$B$4)</f>
        <v>0.3</v>
      </c>
      <c r="E12" s="20"/>
      <c r="F12" s="11" t="str">
        <f aca="false">IF(E12="","",(E12-D12)*1000)</f>
        <v/>
      </c>
      <c r="G12" s="8" t="str">
        <f aca="false">IF(D12&lt;MIN('Known values'!$C$8:$C$15),INDEX('Known values'!$A$8:$A$15,1),IF(D12&gt;=MAX('Known values'!$C$8:$C$15),INDEX('Known values'!$A$8:$A$15,ROWS('Known values'!$A$8:$A$15)),IF(D12-INDEX('Known values'!$C$8:$C$15,MATCH(D12,'Known values'!$C$8:$C$15,1))&lt;=INDEX('Known values'!$C$8:$C$15,MATCH(D12,'Known values'!$C$8:$C$15,1)+1)-D12,INDEX('Known values'!$A$8:$A$15,MATCH(D12,'Known values'!$C$8:$C$15,1)),INDEX('Known values'!$A$8:$A$15,MATCH(D12,'Known values'!$C$8:$C$15,1)+1))))</f>
        <v>Sleep (backup)</v>
      </c>
      <c r="H12" s="21"/>
      <c r="I12" s="21"/>
      <c r="J12" s="21"/>
      <c r="K12" s="21"/>
    </row>
    <row r="13" customFormat="false" ht="15" hidden="false" customHeight="false" outlineLevel="0" collapsed="false">
      <c r="A13" s="8" t="n">
        <v>5</v>
      </c>
      <c r="B13" s="19" t="n">
        <v>15</v>
      </c>
      <c r="C13" s="19"/>
      <c r="D13" s="13" t="n">
        <f aca="false">'Known values'!$B$3*B13/(B13+'Known values'!$B$4)</f>
        <v>0.430434782608696</v>
      </c>
      <c r="E13" s="20"/>
      <c r="F13" s="11" t="str">
        <f aca="false">IF(E13="","",(E13-D13)*1000)</f>
        <v/>
      </c>
      <c r="G13" s="8" t="str">
        <f aca="false">IF(D13&lt;MIN('Known values'!$C$8:$C$15),INDEX('Known values'!$A$8:$A$15,1),IF(D13&gt;=MAX('Known values'!$C$8:$C$15),INDEX('Known values'!$A$8:$A$15,ROWS('Known values'!$A$8:$A$15)),IF(D13-INDEX('Known values'!$C$8:$C$15,MATCH(D13,'Known values'!$C$8:$C$15,1))&lt;=INDEX('Known values'!$C$8:$C$15,MATCH(D13,'Known values'!$C$8:$C$15,1)+1)-D13,INDEX('Known values'!$A$8:$A$15,MATCH(D13,'Known values'!$C$8:$C$15,1)),INDEX('Known values'!$A$8:$A$15,MATCH(D13,'Known values'!$C$8:$C$15,1)+1))))</f>
        <v>Sleep</v>
      </c>
      <c r="H13" s="21"/>
      <c r="I13" s="21"/>
      <c r="J13" s="21"/>
      <c r="K13" s="21"/>
    </row>
    <row r="14" customFormat="false" ht="15" hidden="false" customHeight="false" outlineLevel="0" collapsed="false">
      <c r="A14" s="8" t="n">
        <v>6</v>
      </c>
      <c r="B14" s="19" t="n">
        <v>18</v>
      </c>
      <c r="C14" s="19"/>
      <c r="D14" s="13" t="n">
        <f aca="false">'Known values'!$B$3*B14/(B14+'Known values'!$B$4)</f>
        <v>0.503389830508475</v>
      </c>
      <c r="E14" s="20"/>
      <c r="F14" s="11" t="str">
        <f aca="false">IF(E14="","",(E14-D14)*1000)</f>
        <v/>
      </c>
      <c r="G14" s="8" t="str">
        <f aca="false">IF(D14&lt;MIN('Known values'!$C$8:$C$15),INDEX('Known values'!$A$8:$A$15,1),IF(D14&gt;=MAX('Known values'!$C$8:$C$15),INDEX('Known values'!$A$8:$A$15,ROWS('Known values'!$A$8:$A$15)),IF(D14-INDEX('Known values'!$C$8:$C$15,MATCH(D14,'Known values'!$C$8:$C$15,1))&lt;=INDEX('Known values'!$C$8:$C$15,MATCH(D14,'Known values'!$C$8:$C$15,1)+1)-D14,INDEX('Known values'!$A$8:$A$15,MATCH(D14,'Known values'!$C$8:$C$15,1)),INDEX('Known values'!$A$8:$A$15,MATCH(D14,'Known values'!$C$8:$C$15,1)+1))))</f>
        <v>Sleep</v>
      </c>
      <c r="H14" s="21"/>
      <c r="I14" s="21"/>
      <c r="J14" s="21"/>
      <c r="K14" s="21"/>
    </row>
    <row r="15" customFormat="false" ht="15" hidden="false" customHeight="false" outlineLevel="0" collapsed="false">
      <c r="A15" s="8" t="n">
        <v>7</v>
      </c>
      <c r="B15" s="19" t="n">
        <v>22</v>
      </c>
      <c r="C15" s="19"/>
      <c r="D15" s="13" t="n">
        <f aca="false">'Known values'!$B$3*B15/(B15+'Known values'!$B$4)</f>
        <v>0.595081967213115</v>
      </c>
      <c r="E15" s="20"/>
      <c r="F15" s="11" t="str">
        <f aca="false">IF(E15="","",(E15-D15)*1000)</f>
        <v/>
      </c>
      <c r="G15" s="8" t="str">
        <f aca="false">IF(D15&lt;MIN('Known values'!$C$8:$C$15),INDEX('Known values'!$A$8:$A$15,1),IF(D15&gt;=MAX('Known values'!$C$8:$C$15),INDEX('Known values'!$A$8:$A$15,ROWS('Known values'!$A$8:$A$15)),IF(D15-INDEX('Known values'!$C$8:$C$15,MATCH(D15,'Known values'!$C$8:$C$15,1))&lt;=INDEX('Known values'!$C$8:$C$15,MATCH(D15,'Known values'!$C$8:$C$15,1)+1)-D15,INDEX('Known values'!$A$8:$A$15,MATCH(D15,'Known values'!$C$8:$C$15,1)),INDEX('Known values'!$A$8:$A$15,MATCH(D15,'Known values'!$C$8:$C$15,1)+1))))</f>
        <v>Sleep</v>
      </c>
      <c r="H15" s="21"/>
      <c r="I15" s="21"/>
      <c r="J15" s="21"/>
      <c r="K15" s="21"/>
    </row>
    <row r="16" customFormat="false" ht="15" hidden="false" customHeight="false" outlineLevel="0" collapsed="false">
      <c r="A16" s="8" t="n">
        <v>8</v>
      </c>
      <c r="B16" s="19" t="n">
        <v>27</v>
      </c>
      <c r="C16" s="19"/>
      <c r="D16" s="13" t="n">
        <f aca="false">'Known values'!$B$3*B16/(B16+'Known values'!$B$4)</f>
        <v>0.701574803149606</v>
      </c>
      <c r="E16" s="20"/>
      <c r="F16" s="11" t="str">
        <f aca="false">IF(E16="","",(E16-D16)*1000)</f>
        <v/>
      </c>
      <c r="G16" s="8" t="str">
        <f aca="false">IF(D16&lt;MIN('Known values'!$C$8:$C$15),INDEX('Known values'!$A$8:$A$15,1),IF(D16&gt;=MAX('Known values'!$C$8:$C$15),INDEX('Known values'!$A$8:$A$15,ROWS('Known values'!$A$8:$A$15)),IF(D16-INDEX('Known values'!$C$8:$C$15,MATCH(D16,'Known values'!$C$8:$C$15,1))&lt;=INDEX('Known values'!$C$8:$C$15,MATCH(D16,'Known values'!$C$8:$C$15,1)+1)-D16,INDEX('Known values'!$A$8:$A$15,MATCH(D16,'Known values'!$C$8:$C$15,1)),INDEX('Known values'!$A$8:$A$15,MATCH(D16,'Known values'!$C$8:$C$15,1)+1))))</f>
        <v>Sleep</v>
      </c>
      <c r="H16" s="21"/>
      <c r="I16" s="21"/>
      <c r="J16" s="21"/>
      <c r="K16" s="21"/>
    </row>
    <row r="17" customFormat="false" ht="15" hidden="false" customHeight="false" outlineLevel="0" collapsed="false">
      <c r="A17" s="8" t="n">
        <v>9</v>
      </c>
      <c r="B17" s="19" t="n">
        <v>33</v>
      </c>
      <c r="C17" s="19"/>
      <c r="D17" s="13" t="n">
        <f aca="false">'Known values'!$B$3*B17/(B17+'Known values'!$B$4)</f>
        <v>0.818796992481203</v>
      </c>
      <c r="E17" s="20"/>
      <c r="F17" s="11" t="str">
        <f aca="false">IF(E17="","",(E17-D17)*1000)</f>
        <v/>
      </c>
      <c r="G17" s="8" t="str">
        <f aca="false">IF(D17&lt;MIN('Known values'!$C$8:$C$15),INDEX('Known values'!$A$8:$A$15,1),IF(D17&gt;=MAX('Known values'!$C$8:$C$15),INDEX('Known values'!$A$8:$A$15,ROWS('Known values'!$A$8:$A$15)),IF(D17-INDEX('Known values'!$C$8:$C$15,MATCH(D17,'Known values'!$C$8:$C$15,1))&lt;=INDEX('Known values'!$C$8:$C$15,MATCH(D17,'Known values'!$C$8:$C$15,1)+1)-D17,INDEX('Known values'!$A$8:$A$15,MATCH(D17,'Known values'!$C$8:$C$15,1)),INDEX('Known values'!$A$8:$A$15,MATCH(D17,'Known values'!$C$8:$C$15,1)+1))))</f>
        <v>Princess</v>
      </c>
      <c r="H17" s="21"/>
      <c r="I17" s="21"/>
      <c r="J17" s="21"/>
      <c r="K17" s="21"/>
    </row>
    <row r="18" customFormat="false" ht="15" hidden="false" customHeight="false" outlineLevel="0" collapsed="false">
      <c r="A18" s="8" t="n">
        <v>10</v>
      </c>
      <c r="B18" s="19" t="n">
        <v>39</v>
      </c>
      <c r="C18" s="19"/>
      <c r="D18" s="13" t="n">
        <f aca="false">'Known values'!$B$3*B18/(B18+'Known values'!$B$4)</f>
        <v>0.92589928057554</v>
      </c>
      <c r="E18" s="20"/>
      <c r="F18" s="11" t="str">
        <f aca="false">IF(E18="","",(E18-D18)*1000)</f>
        <v/>
      </c>
      <c r="G18" s="8" t="str">
        <f aca="false">IF(D18&lt;MIN('Known values'!$C$8:$C$15),INDEX('Known values'!$A$8:$A$15,1),IF(D18&gt;=MAX('Known values'!$C$8:$C$15),INDEX('Known values'!$A$8:$A$15,ROWS('Known values'!$A$8:$A$15)),IF(D18-INDEX('Known values'!$C$8:$C$15,MATCH(D18,'Known values'!$C$8:$C$15,1))&lt;=INDEX('Known values'!$C$8:$C$15,MATCH(D18,'Known values'!$C$8:$C$15,1)+1)-D18,INDEX('Known values'!$A$8:$A$15,MATCH(D18,'Known values'!$C$8:$C$15,1)),INDEX('Known values'!$A$8:$A$15,MATCH(D18,'Known values'!$C$8:$C$15,1)+1))))</f>
        <v>Princess</v>
      </c>
      <c r="H18" s="21"/>
      <c r="I18" s="21"/>
      <c r="J18" s="21"/>
      <c r="K18" s="21"/>
    </row>
    <row r="19" customFormat="false" ht="15" hidden="false" customHeight="false" outlineLevel="0" collapsed="false">
      <c r="A19" s="8" t="n">
        <v>11</v>
      </c>
      <c r="B19" s="19" t="n">
        <v>43</v>
      </c>
      <c r="C19" s="19"/>
      <c r="D19" s="13" t="n">
        <f aca="false">'Known values'!$B$3*B19/(B19+'Known values'!$B$4)</f>
        <v>0.992307692307692</v>
      </c>
      <c r="E19" s="20"/>
      <c r="F19" s="11" t="str">
        <f aca="false">IF(E19="","",(E19-D19)*1000)</f>
        <v/>
      </c>
      <c r="G19" s="8" t="str">
        <f aca="false">IF(D19&lt;MIN('Known values'!$C$8:$C$15),INDEX('Known values'!$A$8:$A$15,1),IF(D19&gt;=MAX('Known values'!$C$8:$C$15),INDEX('Known values'!$A$8:$A$15,ROWS('Known values'!$A$8:$A$15)),IF(D19-INDEX('Known values'!$C$8:$C$15,MATCH(D19,'Known values'!$C$8:$C$15,1))&lt;=INDEX('Known values'!$C$8:$C$15,MATCH(D19,'Known values'!$C$8:$C$15,1)+1)-D19,INDEX('Known values'!$A$8:$A$15,MATCH(D19,'Known values'!$C$8:$C$15,1)),INDEX('Known values'!$A$8:$A$15,MATCH(D19,'Known values'!$C$8:$C$15,1)+1))))</f>
        <v>Princess</v>
      </c>
      <c r="H19" s="21"/>
      <c r="I19" s="21"/>
      <c r="J19" s="21"/>
      <c r="K19" s="21"/>
    </row>
    <row r="20" customFormat="false" ht="15" hidden="false" customHeight="false" outlineLevel="0" collapsed="false">
      <c r="A20" s="8" t="n">
        <v>12</v>
      </c>
      <c r="B20" s="19" t="n">
        <v>47</v>
      </c>
      <c r="C20" s="19"/>
      <c r="D20" s="13" t="n">
        <f aca="false">'Known values'!$B$3*B20/(B20+'Known values'!$B$4)</f>
        <v>1.05510204081633</v>
      </c>
      <c r="E20" s="20"/>
      <c r="F20" s="11" t="str">
        <f aca="false">IF(E20="","",(E20-D20)*1000)</f>
        <v/>
      </c>
      <c r="G20" s="8" t="str">
        <f aca="false">IF(D20&lt;MIN('Known values'!$C$8:$C$15),INDEX('Known values'!$A$8:$A$15,1),IF(D20&gt;=MAX('Known values'!$C$8:$C$15),INDEX('Known values'!$A$8:$A$15,ROWS('Known values'!$A$8:$A$15)),IF(D20-INDEX('Known values'!$C$8:$C$15,MATCH(D20,'Known values'!$C$8:$C$15,1))&lt;=INDEX('Known values'!$C$8:$C$15,MATCH(D20,'Known values'!$C$8:$C$15,1)+1)-D20,INDEX('Known values'!$A$8:$A$15,MATCH(D20,'Known values'!$C$8:$C$15,1)),INDEX('Known values'!$A$8:$A$15,MATCH(D20,'Known values'!$C$8:$C$15,1)+1))))</f>
        <v>Princess</v>
      </c>
      <c r="H20" s="21"/>
      <c r="I20" s="21"/>
      <c r="J20" s="21"/>
      <c r="K20" s="21"/>
    </row>
    <row r="21" customFormat="false" ht="15" hidden="false" customHeight="false" outlineLevel="0" collapsed="false">
      <c r="A21" s="8" t="n">
        <v>13</v>
      </c>
      <c r="B21" s="19" t="n">
        <v>51</v>
      </c>
      <c r="C21" s="19"/>
      <c r="D21" s="13" t="n">
        <f aca="false">'Known values'!$B$3*B21/(B21+'Known values'!$B$4)</f>
        <v>1.11456953642384</v>
      </c>
      <c r="E21" s="20"/>
      <c r="F21" s="11" t="str">
        <f aca="false">IF(E21="","",(E21-D21)*1000)</f>
        <v/>
      </c>
      <c r="G21" s="8" t="str">
        <f aca="false">IF(D21&lt;MIN('Known values'!$C$8:$C$15),INDEX('Known values'!$A$8:$A$15,1),IF(D21&gt;=MAX('Known values'!$C$8:$C$15),INDEX('Known values'!$A$8:$A$15,ROWS('Known values'!$A$8:$A$15)),IF(D21-INDEX('Known values'!$C$8:$C$15,MATCH(D21,'Known values'!$C$8:$C$15,1))&lt;=INDEX('Known values'!$C$8:$C$15,MATCH(D21,'Known values'!$C$8:$C$15,1)+1)-D21,INDEX('Known values'!$A$8:$A$15,MATCH(D21,'Known values'!$C$8:$C$15,1)),INDEX('Known values'!$A$8:$A$15,MATCH(D21,'Known values'!$C$8:$C$15,1)+1))))</f>
        <v>Ninja</v>
      </c>
      <c r="H21" s="21"/>
      <c r="I21" s="21"/>
      <c r="J21" s="21"/>
      <c r="K21" s="21"/>
    </row>
    <row r="22" customFormat="false" ht="15" hidden="false" customHeight="false" outlineLevel="0" collapsed="false">
      <c r="A22" s="8" t="n">
        <v>14</v>
      </c>
      <c r="B22" s="19" t="n">
        <v>56</v>
      </c>
      <c r="C22" s="19"/>
      <c r="D22" s="13" t="n">
        <f aca="false">'Known values'!$B$3*B22/(B22+'Known values'!$B$4)</f>
        <v>1.18461538461538</v>
      </c>
      <c r="E22" s="20"/>
      <c r="F22" s="11" t="str">
        <f aca="false">IF(E22="","",(E22-D22)*1000)</f>
        <v/>
      </c>
      <c r="G22" s="8" t="str">
        <f aca="false">IF(D22&lt;MIN('Known values'!$C$8:$C$15),INDEX('Known values'!$A$8:$A$15,1),IF(D22&gt;=MAX('Known values'!$C$8:$C$15),INDEX('Known values'!$A$8:$A$15,ROWS('Known values'!$A$8:$A$15)),IF(D22-INDEX('Known values'!$C$8:$C$15,MATCH(D22,'Known values'!$C$8:$C$15,1))&lt;=INDEX('Known values'!$C$8:$C$15,MATCH(D22,'Known values'!$C$8:$C$15,1)+1)-D22,INDEX('Known values'!$A$8:$A$15,MATCH(D22,'Known values'!$C$8:$C$15,1)),INDEX('Known values'!$A$8:$A$15,MATCH(D22,'Known values'!$C$8:$C$15,1)+1))))</f>
        <v>Ninja</v>
      </c>
      <c r="H22" s="21"/>
      <c r="I22" s="21"/>
      <c r="J22" s="21"/>
      <c r="K22" s="21"/>
    </row>
    <row r="23" customFormat="false" ht="15" hidden="false" customHeight="false" outlineLevel="0" collapsed="false">
      <c r="A23" s="8" t="n">
        <v>15</v>
      </c>
      <c r="B23" s="19" t="n">
        <v>62</v>
      </c>
      <c r="C23" s="19"/>
      <c r="D23" s="13" t="n">
        <f aca="false">'Known values'!$B$3*B23/(B23+'Known values'!$B$4)</f>
        <v>1.26296296296296</v>
      </c>
      <c r="E23" s="20"/>
      <c r="F23" s="11" t="str">
        <f aca="false">IF(E23="","",(E23-D23)*1000)</f>
        <v/>
      </c>
      <c r="G23" s="8" t="str">
        <f aca="false">IF(D23&lt;MIN('Known values'!$C$8:$C$15),INDEX('Known values'!$A$8:$A$15,1),IF(D23&gt;=MAX('Known values'!$C$8:$C$15),INDEX('Known values'!$A$8:$A$15,ROWS('Known values'!$A$8:$A$15)),IF(D23-INDEX('Known values'!$C$8:$C$15,MATCH(D23,'Known values'!$C$8:$C$15,1))&lt;=INDEX('Known values'!$C$8:$C$15,MATCH(D23,'Known values'!$C$8:$C$15,1)+1)-D23,INDEX('Known values'!$A$8:$A$15,MATCH(D23,'Known values'!$C$8:$C$15,1)),INDEX('Known values'!$A$8:$A$15,MATCH(D23,'Known values'!$C$8:$C$15,1)+1))))</f>
        <v>Ninja</v>
      </c>
      <c r="H23" s="21"/>
      <c r="I23" s="21"/>
      <c r="J23" s="21"/>
      <c r="K23" s="21"/>
    </row>
    <row r="24" customFormat="false" ht="15" hidden="false" customHeight="false" outlineLevel="0" collapsed="false">
      <c r="A24" s="8" t="n">
        <v>16</v>
      </c>
      <c r="B24" s="19" t="n">
        <v>68</v>
      </c>
      <c r="C24" s="19"/>
      <c r="D24" s="13" t="n">
        <f aca="false">'Known values'!$B$3*B24/(B24+'Known values'!$B$4)</f>
        <v>1.33571428571429</v>
      </c>
      <c r="E24" s="20"/>
      <c r="F24" s="11" t="str">
        <f aca="false">IF(E24="","",(E24-D24)*1000)</f>
        <v/>
      </c>
      <c r="G24" s="8" t="str">
        <f aca="false">IF(D24&lt;MIN('Known values'!$C$8:$C$15),INDEX('Known values'!$A$8:$A$15,1),IF(D24&gt;=MAX('Known values'!$C$8:$C$15),INDEX('Known values'!$A$8:$A$15,ROWS('Known values'!$A$8:$A$15)),IF(D24-INDEX('Known values'!$C$8:$C$15,MATCH(D24,'Known values'!$C$8:$C$15,1))&lt;=INDEX('Known values'!$C$8:$C$15,MATCH(D24,'Known values'!$C$8:$C$15,1)+1)-D24,INDEX('Known values'!$A$8:$A$15,MATCH(D24,'Known values'!$C$8:$C$15,1)),INDEX('Known values'!$A$8:$A$15,MATCH(D24,'Known values'!$C$8:$C$15,1)+1))))</f>
        <v>Popstar</v>
      </c>
      <c r="H24" s="21"/>
      <c r="I24" s="21"/>
      <c r="J24" s="21"/>
      <c r="K24" s="21"/>
    </row>
    <row r="25" customFormat="false" ht="15" hidden="false" customHeight="false" outlineLevel="0" collapsed="false">
      <c r="A25" s="8" t="n">
        <v>17</v>
      </c>
      <c r="B25" s="19" t="n">
        <v>75</v>
      </c>
      <c r="C25" s="19"/>
      <c r="D25" s="13" t="n">
        <f aca="false">'Known values'!$B$3*B25/(B25+'Known values'!$B$4)</f>
        <v>1.41428571428571</v>
      </c>
      <c r="E25" s="20"/>
      <c r="F25" s="11" t="str">
        <f aca="false">IF(E25="","",(E25-D25)*1000)</f>
        <v/>
      </c>
      <c r="G25" s="8" t="str">
        <f aca="false">IF(D25&lt;MIN('Known values'!$C$8:$C$15),INDEX('Known values'!$A$8:$A$15,1),IF(D25&gt;=MAX('Known values'!$C$8:$C$15),INDEX('Known values'!$A$8:$A$15,ROWS('Known values'!$A$8:$A$15)),IF(D25-INDEX('Known values'!$C$8:$C$15,MATCH(D25,'Known values'!$C$8:$C$15,1))&lt;=INDEX('Known values'!$C$8:$C$15,MATCH(D25,'Known values'!$C$8:$C$15,1)+1)-D25,INDEX('Known values'!$A$8:$A$15,MATCH(D25,'Known values'!$C$8:$C$15,1)),INDEX('Known values'!$A$8:$A$15,MATCH(D25,'Known values'!$C$8:$C$15,1)+1))))</f>
        <v>Popstar</v>
      </c>
      <c r="H25" s="21"/>
      <c r="I25" s="21"/>
      <c r="J25" s="21"/>
      <c r="K25" s="21"/>
    </row>
    <row r="26" customFormat="false" ht="15" hidden="false" customHeight="false" outlineLevel="0" collapsed="false">
      <c r="A26" s="8" t="n">
        <v>18</v>
      </c>
      <c r="B26" s="19" t="n">
        <v>82</v>
      </c>
      <c r="C26" s="19"/>
      <c r="D26" s="13" t="n">
        <f aca="false">'Known values'!$B$3*B26/(B26+'Known values'!$B$4)</f>
        <v>1.48681318681319</v>
      </c>
      <c r="E26" s="20"/>
      <c r="F26" s="11" t="str">
        <f aca="false">IF(E26="","",(E26-D26)*1000)</f>
        <v/>
      </c>
      <c r="G26" s="8" t="str">
        <f aca="false">IF(D26&lt;MIN('Known values'!$C$8:$C$15),INDEX('Known values'!$A$8:$A$15,1),IF(D26&gt;=MAX('Known values'!$C$8:$C$15),INDEX('Known values'!$A$8:$A$15,ROWS('Known values'!$A$8:$A$15)),IF(D26-INDEX('Known values'!$C$8:$C$15,MATCH(D26,'Known values'!$C$8:$C$15,1))&lt;=INDEX('Known values'!$C$8:$C$15,MATCH(D26,'Known values'!$C$8:$C$15,1)+1)-D26,INDEX('Known values'!$A$8:$A$15,MATCH(D26,'Known values'!$C$8:$C$15,1)),INDEX('Known values'!$A$8:$A$15,MATCH(D26,'Known values'!$C$8:$C$15,1)+1))))</f>
        <v>Popstar</v>
      </c>
      <c r="H26" s="21"/>
      <c r="I26" s="21"/>
      <c r="J26" s="21"/>
      <c r="K26" s="21"/>
    </row>
    <row r="27" customFormat="false" ht="15" hidden="false" customHeight="false" outlineLevel="0" collapsed="false">
      <c r="A27" s="8" t="n">
        <v>19</v>
      </c>
      <c r="B27" s="19" t="n">
        <v>91</v>
      </c>
      <c r="C27" s="19"/>
      <c r="D27" s="13" t="n">
        <f aca="false">'Known values'!$B$3*B27/(B27+'Known values'!$B$4)</f>
        <v>1.57225130890052</v>
      </c>
      <c r="E27" s="20"/>
      <c r="F27" s="11" t="str">
        <f aca="false">IF(E27="","",(E27-D27)*1000)</f>
        <v/>
      </c>
      <c r="G27" s="8" t="str">
        <f aca="false">IF(D27&lt;MIN('Known values'!$C$8:$C$15),INDEX('Known values'!$A$8:$A$15,1),IF(D27&gt;=MAX('Known values'!$C$8:$C$15),INDEX('Known values'!$A$8:$A$15,ROWS('Known values'!$A$8:$A$15)),IF(D27-INDEX('Known values'!$C$8:$C$15,MATCH(D27,'Known values'!$C$8:$C$15,1))&lt;=INDEX('Known values'!$C$8:$C$15,MATCH(D27,'Known values'!$C$8:$C$15,1)+1)-D27,INDEX('Known values'!$A$8:$A$15,MATCH(D27,'Known values'!$C$8:$C$15,1)),INDEX('Known values'!$A$8:$A$15,MATCH(D27,'Known values'!$C$8:$C$15,1)+1))))</f>
        <v>Pirate</v>
      </c>
      <c r="H27" s="21"/>
      <c r="I27" s="21"/>
      <c r="J27" s="21"/>
      <c r="K27" s="21"/>
    </row>
    <row r="28" customFormat="false" ht="15" hidden="false" customHeight="false" outlineLevel="0" collapsed="false">
      <c r="A28" s="8" t="n">
        <v>20</v>
      </c>
      <c r="B28" s="19" t="n">
        <v>100</v>
      </c>
      <c r="C28" s="19"/>
      <c r="D28" s="13" t="n">
        <f aca="false">'Known values'!$B$3*B28/(B28+'Known values'!$B$4)</f>
        <v>1.65</v>
      </c>
      <c r="E28" s="20"/>
      <c r="F28" s="11" t="str">
        <f aca="false">IF(E28="","",(E28-D28)*1000)</f>
        <v/>
      </c>
      <c r="G28" s="8" t="str">
        <f aca="false">IF(D28&lt;MIN('Known values'!$C$8:$C$15),INDEX('Known values'!$A$8:$A$15,1),IF(D28&gt;=MAX('Known values'!$C$8:$C$15),INDEX('Known values'!$A$8:$A$15,ROWS('Known values'!$A$8:$A$15)),IF(D28-INDEX('Known values'!$C$8:$C$15,MATCH(D28,'Known values'!$C$8:$C$15,1))&lt;=INDEX('Known values'!$C$8:$C$15,MATCH(D28,'Known values'!$C$8:$C$15,1)+1)-D28,INDEX('Known values'!$A$8:$A$15,MATCH(D28,'Known values'!$C$8:$C$15,1)),INDEX('Known values'!$A$8:$A$15,MATCH(D28,'Known values'!$C$8:$C$15,1)+1))))</f>
        <v>Pirate</v>
      </c>
      <c r="H28" s="21"/>
      <c r="I28" s="21"/>
      <c r="J28" s="21"/>
      <c r="K28" s="21"/>
    </row>
    <row r="29" customFormat="false" ht="15" hidden="false" customHeight="false" outlineLevel="0" collapsed="false">
      <c r="A29" s="8" t="n">
        <v>21</v>
      </c>
      <c r="B29" s="19" t="n">
        <v>120</v>
      </c>
      <c r="C29" s="19"/>
      <c r="D29" s="13" t="n">
        <f aca="false">'Known values'!$B$3*B29/(B29+'Known values'!$B$4)</f>
        <v>1.8</v>
      </c>
      <c r="E29" s="20"/>
      <c r="F29" s="11" t="str">
        <f aca="false">IF(E29="","",(E29-D29)*1000)</f>
        <v/>
      </c>
      <c r="G29" s="8" t="str">
        <f aca="false">IF(D29&lt;MIN('Known values'!$C$8:$C$15),INDEX('Known values'!$A$8:$A$15,1),IF(D29&gt;=MAX('Known values'!$C$8:$C$15),INDEX('Known values'!$A$8:$A$15,ROWS('Known values'!$A$8:$A$15)),IF(D29-INDEX('Known values'!$C$8:$C$15,MATCH(D29,'Known values'!$C$8:$C$15,1))&lt;=INDEX('Known values'!$C$8:$C$15,MATCH(D29,'Known values'!$C$8:$C$15,1)+1)-D29,INDEX('Known values'!$A$8:$A$15,MATCH(D29,'Known values'!$C$8:$C$15,1)),INDEX('Known values'!$A$8:$A$15,MATCH(D29,'Known values'!$C$8:$C$15,1)+1))))</f>
        <v>Pirate</v>
      </c>
      <c r="H29" s="21"/>
      <c r="I29" s="21"/>
      <c r="J29" s="21"/>
      <c r="K29" s="21"/>
    </row>
    <row r="30" customFormat="false" ht="15" hidden="false" customHeight="false" outlineLevel="0" collapsed="false">
      <c r="A30" s="8" t="n">
        <v>22</v>
      </c>
      <c r="B30" s="19" t="n">
        <v>150</v>
      </c>
      <c r="C30" s="19"/>
      <c r="D30" s="13" t="n">
        <f aca="false">'Known values'!$B$3*B30/(B30+'Known values'!$B$4)</f>
        <v>1.98</v>
      </c>
      <c r="E30" s="20"/>
      <c r="F30" s="11" t="str">
        <f aca="false">IF(E30="","",(E30-D30)*1000)</f>
        <v/>
      </c>
      <c r="G30" s="8" t="str">
        <f aca="false">IF(D30&lt;MIN('Known values'!$C$8:$C$15),INDEX('Known values'!$A$8:$A$15,1),IF(D30&gt;=MAX('Known values'!$C$8:$C$15),INDEX('Known values'!$A$8:$A$15,ROWS('Known values'!$A$8:$A$15)),IF(D30-INDEX('Known values'!$C$8:$C$15,MATCH(D30,'Known values'!$C$8:$C$15,1))&lt;=INDEX('Known values'!$C$8:$C$15,MATCH(D30,'Known values'!$C$8:$C$15,1)+1)-D30,INDEX('Known values'!$A$8:$A$15,MATCH(D30,'Known values'!$C$8:$C$15,1)),INDEX('Known values'!$A$8:$A$15,MATCH(D30,'Known values'!$C$8:$C$15,1)+1))))</f>
        <v>DJ</v>
      </c>
      <c r="H30" s="21"/>
      <c r="I30" s="21"/>
      <c r="J30" s="21"/>
      <c r="K30" s="21"/>
    </row>
    <row r="31" customFormat="false" ht="15" hidden="false" customHeight="false" outlineLevel="0" collapsed="false">
      <c r="A31" s="8" t="n">
        <v>23</v>
      </c>
      <c r="B31" s="19" t="n">
        <v>180</v>
      </c>
      <c r="C31" s="19"/>
      <c r="D31" s="13" t="n">
        <f aca="false">'Known values'!$B$3*B31/(B31+'Known values'!$B$4)</f>
        <v>2.12142857142857</v>
      </c>
      <c r="E31" s="20"/>
      <c r="F31" s="11" t="str">
        <f aca="false">IF(E31="","",(E31-D31)*1000)</f>
        <v/>
      </c>
      <c r="G31" s="8" t="str">
        <f aca="false">IF(D31&lt;MIN('Known values'!$C$8:$C$15),INDEX('Known values'!$A$8:$A$15,1),IF(D31&gt;=MAX('Known values'!$C$8:$C$15),INDEX('Known values'!$A$8:$A$15,ROWS('Known values'!$A$8:$A$15)),IF(D31-INDEX('Known values'!$C$8:$C$15,MATCH(D31,'Known values'!$C$8:$C$15,1))&lt;=INDEX('Known values'!$C$8:$C$15,MATCH(D31,'Known values'!$C$8:$C$15,1)+1)-D31,INDEX('Known values'!$A$8:$A$15,MATCH(D31,'Known values'!$C$8:$C$15,1)),INDEX('Known values'!$A$8:$A$15,MATCH(D31,'Known values'!$C$8:$C$15,1)+1))))</f>
        <v>DJ</v>
      </c>
      <c r="H31" s="21"/>
      <c r="I31" s="21"/>
      <c r="J31" s="21"/>
      <c r="K31" s="21"/>
    </row>
    <row r="32" customFormat="false" ht="15" hidden="false" customHeight="false" outlineLevel="0" collapsed="false">
      <c r="A32" s="8" t="n">
        <v>24</v>
      </c>
      <c r="B32" s="19" t="n">
        <v>220</v>
      </c>
      <c r="C32" s="19"/>
      <c r="D32" s="13" t="n">
        <f aca="false">'Known values'!$B$3*B32/(B32+'Known values'!$B$4)</f>
        <v>2.26875</v>
      </c>
      <c r="E32" s="20"/>
      <c r="F32" s="11" t="str">
        <f aca="false">IF(E32="","",(E32-D32)*1000)</f>
        <v/>
      </c>
      <c r="G32" s="8" t="str">
        <f aca="false">IF(D32&lt;MIN('Known values'!$C$8:$C$15),INDEX('Known values'!$A$8:$A$15,1),IF(D32&gt;=MAX('Known values'!$C$8:$C$15),INDEX('Known values'!$A$8:$A$15,ROWS('Known values'!$A$8:$A$15)),IF(D32-INDEX('Known values'!$C$8:$C$15,MATCH(D32,'Known values'!$C$8:$C$15,1))&lt;=INDEX('Known values'!$C$8:$C$15,MATCH(D32,'Known values'!$C$8:$C$15,1)+1)-D32,INDEX('Known values'!$A$8:$A$15,MATCH(D32,'Known values'!$C$8:$C$15,1)),INDEX('Known values'!$A$8:$A$15,MATCH(D32,'Known values'!$C$8:$C$15,1)+1))))</f>
        <v>DJ</v>
      </c>
      <c r="H32" s="21"/>
      <c r="I32" s="21"/>
      <c r="J32" s="21"/>
      <c r="K32" s="21"/>
    </row>
    <row r="33" customFormat="false" ht="15" hidden="false" customHeight="false" outlineLevel="0" collapsed="false">
      <c r="A33" s="8" t="n">
        <v>25</v>
      </c>
      <c r="B33" s="19" t="n">
        <v>270</v>
      </c>
      <c r="C33" s="19"/>
      <c r="D33" s="13" t="n">
        <f aca="false">'Known values'!$B$3*B33/(B33+'Known values'!$B$4)</f>
        <v>2.40810810810811</v>
      </c>
      <c r="E33" s="20"/>
      <c r="F33" s="11" t="str">
        <f aca="false">IF(E33="","",(E33-D33)*1000)</f>
        <v/>
      </c>
      <c r="G33" s="8" t="str">
        <f aca="false">IF(D33&lt;MIN('Known values'!$C$8:$C$15),INDEX('Known values'!$A$8:$A$15,1),IF(D33&gt;=MAX('Known values'!$C$8:$C$15),INDEX('Known values'!$A$8:$A$15,ROWS('Known values'!$A$8:$A$15)),IF(D33-INDEX('Known values'!$C$8:$C$15,MATCH(D33,'Known values'!$C$8:$C$15,1))&lt;=INDEX('Known values'!$C$8:$C$15,MATCH(D33,'Known values'!$C$8:$C$15,1)+1)-D33,INDEX('Known values'!$A$8:$A$15,MATCH(D33,'Known values'!$C$8:$C$15,1)),INDEX('Known values'!$A$8:$A$15,MATCH(D33,'Known values'!$C$8:$C$15,1)+1))))</f>
        <v>Cat</v>
      </c>
      <c r="H33" s="21"/>
      <c r="I33" s="21"/>
      <c r="J33" s="21"/>
      <c r="K33" s="21"/>
    </row>
    <row r="34" customFormat="false" ht="15" hidden="false" customHeight="false" outlineLevel="0" collapsed="false">
      <c r="A34" s="8" t="n">
        <v>26</v>
      </c>
      <c r="B34" s="19" t="n">
        <v>330</v>
      </c>
      <c r="C34" s="19"/>
      <c r="D34" s="13" t="n">
        <f aca="false">'Known values'!$B$3*B34/(B34+'Known values'!$B$4)</f>
        <v>2.53255813953488</v>
      </c>
      <c r="E34" s="20"/>
      <c r="F34" s="11" t="str">
        <f aca="false">IF(E34="","",(E34-D34)*1000)</f>
        <v/>
      </c>
      <c r="G34" s="8" t="str">
        <f aca="false">IF(D34&lt;MIN('Known values'!$C$8:$C$15),INDEX('Known values'!$A$8:$A$15,1),IF(D34&gt;=MAX('Known values'!$C$8:$C$15),INDEX('Known values'!$A$8:$A$15,ROWS('Known values'!$A$8:$A$15)),IF(D34-INDEX('Known values'!$C$8:$C$15,MATCH(D34,'Known values'!$C$8:$C$15,1))&lt;=INDEX('Known values'!$C$8:$C$15,MATCH(D34,'Known values'!$C$8:$C$15,1)+1)-D34,INDEX('Known values'!$A$8:$A$15,MATCH(D34,'Known values'!$C$8:$C$15,1)),INDEX('Known values'!$A$8:$A$15,MATCH(D34,'Known values'!$C$8:$C$15,1)+1))))</f>
        <v>Cat</v>
      </c>
      <c r="H34" s="21"/>
      <c r="I34" s="21"/>
      <c r="J34" s="21"/>
      <c r="K34" s="21"/>
    </row>
    <row r="35" customFormat="false" ht="15" hidden="false" customHeight="false" outlineLevel="0" collapsed="false">
      <c r="A35" s="8" t="n">
        <v>27</v>
      </c>
      <c r="B35" s="19" t="n">
        <v>390</v>
      </c>
      <c r="C35" s="19"/>
      <c r="D35" s="13" t="n">
        <f aca="false">'Known values'!$B$3*B35/(B35+'Known values'!$B$4)</f>
        <v>2.6265306122449</v>
      </c>
      <c r="E35" s="20"/>
      <c r="F35" s="11" t="str">
        <f aca="false">IF(E35="","",(E35-D35)*1000)</f>
        <v/>
      </c>
      <c r="G35" s="8" t="str">
        <f aca="false">IF(D35&lt;MIN('Known values'!$C$8:$C$15),INDEX('Known values'!$A$8:$A$15,1),IF(D35&gt;=MAX('Known values'!$C$8:$C$15),INDEX('Known values'!$A$8:$A$15,ROWS('Known values'!$A$8:$A$15)),IF(D35-INDEX('Known values'!$C$8:$C$15,MATCH(D35,'Known values'!$C$8:$C$15,1))&lt;=INDEX('Known values'!$C$8:$C$15,MATCH(D35,'Known values'!$C$8:$C$15,1)+1)-D35,INDEX('Known values'!$A$8:$A$15,MATCH(D35,'Known values'!$C$8:$C$15,1)),INDEX('Known values'!$A$8:$A$15,MATCH(D35,'Known values'!$C$8:$C$15,1)+1))))</f>
        <v>Cat</v>
      </c>
      <c r="H35" s="21"/>
      <c r="I35" s="21"/>
      <c r="J35" s="21"/>
      <c r="K35" s="21"/>
    </row>
    <row r="36" customFormat="false" ht="15" hidden="false" customHeight="false" outlineLevel="0" collapsed="false">
      <c r="A36" s="8" t="n">
        <v>28</v>
      </c>
      <c r="B36" s="19" t="n">
        <v>470</v>
      </c>
      <c r="C36" s="19"/>
      <c r="D36" s="13" t="n">
        <f aca="false">'Known values'!$B$3*B36/(B36+'Known values'!$B$4)</f>
        <v>2.72105263157895</v>
      </c>
      <c r="E36" s="20"/>
      <c r="F36" s="11" t="str">
        <f aca="false">IF(E36="","",(E36-D36)*1000)</f>
        <v/>
      </c>
      <c r="G36" s="8" t="str">
        <f aca="false">IF(D36&lt;MIN('Known values'!$C$8:$C$15),INDEX('Known values'!$A$8:$A$15,1),IF(D36&gt;=MAX('Known values'!$C$8:$C$15),INDEX('Known values'!$A$8:$A$15,ROWS('Known values'!$A$8:$A$15)),IF(D36-INDEX('Known values'!$C$8:$C$15,MATCH(D36,'Known values'!$C$8:$C$15,1))&lt;=INDEX('Known values'!$C$8:$C$15,MATCH(D36,'Known values'!$C$8:$C$15,1)+1)-D36,INDEX('Known values'!$A$8:$A$15,MATCH(D36,'Known values'!$C$8:$C$15,1)),INDEX('Known values'!$A$8:$A$15,MATCH(D36,'Known values'!$C$8:$C$15,1)+1))))</f>
        <v>Cat</v>
      </c>
      <c r="H36" s="21"/>
      <c r="I36" s="21"/>
      <c r="J36" s="21"/>
      <c r="K36" s="21"/>
    </row>
    <row r="37" customFormat="false" ht="15" hidden="false" customHeight="false" outlineLevel="0" collapsed="false">
      <c r="A37" s="8" t="n">
        <v>29</v>
      </c>
      <c r="B37" s="19" t="n">
        <v>560</v>
      </c>
      <c r="C37" s="19"/>
      <c r="D37" s="13" t="n">
        <f aca="false">'Known values'!$B$3*B37/(B37+'Known values'!$B$4)</f>
        <v>2.8</v>
      </c>
      <c r="E37" s="20"/>
      <c r="F37" s="11" t="str">
        <f aca="false">IF(E37="","",(E37-D37)*1000)</f>
        <v/>
      </c>
      <c r="G37" s="8" t="str">
        <f aca="false">IF(D37&lt;MIN('Known values'!$C$8:$C$15),INDEX('Known values'!$A$8:$A$15,1),IF(D37&gt;=MAX('Known values'!$C$8:$C$15),INDEX('Known values'!$A$8:$A$15,ROWS('Known values'!$A$8:$A$15)),IF(D37-INDEX('Known values'!$C$8:$C$15,MATCH(D37,'Known values'!$C$8:$C$15,1))&lt;=INDEX('Known values'!$C$8:$C$15,MATCH(D37,'Known values'!$C$8:$C$15,1)+1)-D37,INDEX('Known values'!$A$8:$A$15,MATCH(D37,'Known values'!$C$8:$C$15,1)),INDEX('Known values'!$A$8:$A$15,MATCH(D37,'Known values'!$C$8:$C$15,1)+1))))</f>
        <v>Cat</v>
      </c>
      <c r="H37" s="21"/>
      <c r="I37" s="21"/>
      <c r="J37" s="21"/>
      <c r="K37" s="21"/>
    </row>
    <row r="38" customFormat="false" ht="15" hidden="false" customHeight="false" outlineLevel="0" collapsed="false">
      <c r="A38" s="8" t="n">
        <v>30</v>
      </c>
      <c r="B38" s="19" t="n">
        <v>680</v>
      </c>
      <c r="C38" s="19"/>
      <c r="D38" s="13" t="n">
        <f aca="false">'Known values'!$B$3*B38/(B38+'Known values'!$B$4)</f>
        <v>2.87692307692308</v>
      </c>
      <c r="E38" s="20"/>
      <c r="F38" s="11" t="str">
        <f aca="false">IF(E38="","",(E38-D38)*1000)</f>
        <v/>
      </c>
      <c r="G38" s="8" t="str">
        <f aca="false">IF(D38&lt;MIN('Known values'!$C$8:$C$15),INDEX('Known values'!$A$8:$A$15,1),IF(D38&gt;=MAX('Known values'!$C$8:$C$15),INDEX('Known values'!$A$8:$A$15,ROWS('Known values'!$A$8:$A$15)),IF(D38-INDEX('Known values'!$C$8:$C$15,MATCH(D38,'Known values'!$C$8:$C$15,1))&lt;=INDEX('Known values'!$C$8:$C$15,MATCH(D38,'Known values'!$C$8:$C$15,1)+1)-D38,INDEX('Known values'!$A$8:$A$15,MATCH(D38,'Known values'!$C$8:$C$15,1)),INDEX('Known values'!$A$8:$A$15,MATCH(D38,'Known values'!$C$8:$C$15,1)+1))))</f>
        <v>Cat</v>
      </c>
      <c r="H38" s="21"/>
      <c r="I38" s="21"/>
      <c r="J38" s="21"/>
      <c r="K38" s="21"/>
    </row>
    <row r="39" customFormat="false" ht="15" hidden="false" customHeight="false" outlineLevel="0" collapsed="false">
      <c r="A39" s="8" t="n">
        <v>31</v>
      </c>
      <c r="B39" s="19" t="n">
        <v>820</v>
      </c>
      <c r="C39" s="19"/>
      <c r="D39" s="13" t="n">
        <f aca="false">'Known values'!$B$3*B39/(B39+'Known values'!$B$4)</f>
        <v>2.94130434782609</v>
      </c>
      <c r="E39" s="20"/>
      <c r="F39" s="11" t="str">
        <f aca="false">IF(E39="","",(E39-D39)*1000)</f>
        <v/>
      </c>
      <c r="G39" s="8" t="str">
        <f aca="false">IF(D39&lt;MIN('Known values'!$C$8:$C$15),INDEX('Known values'!$A$8:$A$15,1),IF(D39&gt;=MAX('Known values'!$C$8:$C$15),INDEX('Known values'!$A$8:$A$15,ROWS('Known values'!$A$8:$A$15)),IF(D39-INDEX('Known values'!$C$8:$C$15,MATCH(D39,'Known values'!$C$8:$C$15,1))&lt;=INDEX('Known values'!$C$8:$C$15,MATCH(D39,'Known values'!$C$8:$C$15,1)+1)-D39,INDEX('Known values'!$A$8:$A$15,MATCH(D39,'Known values'!$C$8:$C$15,1)),INDEX('Known values'!$A$8:$A$15,MATCH(D39,'Known values'!$C$8:$C$15,1)+1))))</f>
        <v>Cat</v>
      </c>
      <c r="H39" s="21"/>
      <c r="I39" s="21"/>
      <c r="J39" s="21"/>
      <c r="K39" s="21"/>
    </row>
    <row r="40" customFormat="false" ht="15" hidden="false" customHeight="false" outlineLevel="0" collapsed="false">
      <c r="A40" s="8" t="n">
        <v>32</v>
      </c>
      <c r="B40" s="19" t="n">
        <v>1000</v>
      </c>
      <c r="C40" s="19"/>
      <c r="D40" s="13" t="n">
        <f aca="false">'Known values'!$B$3*B40/(B40+'Known values'!$B$4)</f>
        <v>3</v>
      </c>
      <c r="E40" s="20"/>
      <c r="F40" s="11" t="str">
        <f aca="false">IF(E40="","",(E40-D40)*1000)</f>
        <v/>
      </c>
      <c r="G40" s="8" t="str">
        <f aca="false">IF(D40&lt;MIN('Known values'!$C$8:$C$15),INDEX('Known values'!$A$8:$A$15,1),IF(D40&gt;=MAX('Known values'!$C$8:$C$15),INDEX('Known values'!$A$8:$A$15,ROWS('Known values'!$A$8:$A$15)),IF(D40-INDEX('Known values'!$C$8:$C$15,MATCH(D40,'Known values'!$C$8:$C$15,1))&lt;=INDEX('Known values'!$C$8:$C$15,MATCH(D40,'Known values'!$C$8:$C$15,1)+1)-D40,INDEX('Known values'!$A$8:$A$15,MATCH(D40,'Known values'!$C$8:$C$15,1)),INDEX('Known values'!$A$8:$A$15,MATCH(D40,'Known values'!$C$8:$C$15,1)+1))))</f>
        <v>Cat</v>
      </c>
      <c r="H40" s="21"/>
      <c r="I40" s="21"/>
      <c r="J40" s="21"/>
      <c r="K40" s="21"/>
    </row>
    <row r="41" customFormat="false" ht="15" hidden="false" customHeight="false" outlineLevel="0" collapsed="false">
      <c r="A41" s="8" t="s">
        <v>73</v>
      </c>
      <c r="B41" s="19" t="n">
        <v>1000000</v>
      </c>
      <c r="C41" s="19"/>
      <c r="D41" s="13" t="n">
        <f aca="false">'Known values'!$B$3*B41/(B41+'Known values'!$B$4)</f>
        <v>3.2996700329967</v>
      </c>
      <c r="E41" s="20"/>
      <c r="F41" s="11" t="str">
        <f aca="false">IF(E41="","",(E41-D41)*1000)</f>
        <v/>
      </c>
      <c r="G41" s="8" t="str">
        <f aca="false">IF(D41&lt;MIN('Known values'!$C$8:$C$15),INDEX('Known values'!$A$8:$A$15,1),IF(D41&gt;=MAX('Known values'!$C$8:$C$15),INDEX('Known values'!$A$8:$A$15,ROWS('Known values'!$A$8:$A$15)),IF(D41-INDEX('Known values'!$C$8:$C$15,MATCH(D41,'Known values'!$C$8:$C$15,1))&lt;=INDEX('Known values'!$C$8:$C$15,MATCH(D41,'Known values'!$C$8:$C$15,1)+1)-D41,INDEX('Known values'!$A$8:$A$15,MATCH(D41,'Known values'!$C$8:$C$15,1)),INDEX('Known values'!$A$8:$A$15,MATCH(D41,'Known values'!$C$8:$C$15,1)+1))))</f>
        <v>Cat</v>
      </c>
      <c r="H41" s="21"/>
      <c r="I41" s="21"/>
      <c r="J41" s="21"/>
      <c r="K41" s="21"/>
    </row>
    <row r="42" customFormat="false" ht="15" hidden="false" customHeight="false" outlineLevel="0" collapsed="false">
      <c r="A42" s="8" t="s">
        <v>74</v>
      </c>
      <c r="B42" s="22" t="n">
        <f aca="false">'Known values'!K8</f>
        <v>11.3736078299021</v>
      </c>
      <c r="C42" s="19"/>
      <c r="D42" s="13" t="n">
        <f aca="false">'Known values'!$B$3*B42/(B42+'Known values'!$B$4)</f>
        <v>0.337</v>
      </c>
      <c r="E42" s="20"/>
      <c r="F42" s="11" t="str">
        <f aca="false">IF(E42="","",(E42-D42)*1000)</f>
        <v/>
      </c>
      <c r="G42" s="8" t="str">
        <f aca="false">IF(D42&lt;MIN('Known values'!$C$8:$C$15),INDEX('Known values'!$A$8:$A$15,1),IF(D42&gt;=MAX('Known values'!$C$8:$C$15),INDEX('Known values'!$A$8:$A$15,ROWS('Known values'!$A$8:$A$15)),IF(D42-INDEX('Known values'!$C$8:$C$15,MATCH(D42,'Known values'!$C$8:$C$15,1))&lt;=INDEX('Known values'!$C$8:$C$15,MATCH(D42,'Known values'!$C$8:$C$15,1)+1)-D42,INDEX('Known values'!$A$8:$A$15,MATCH(D42,'Known values'!$C$8:$C$15,1)),INDEX('Known values'!$A$8:$A$15,MATCH(D42,'Known values'!$C$8:$C$15,1)+1))))</f>
        <v>Sleep (backup)</v>
      </c>
      <c r="H42" s="21"/>
      <c r="I42" s="21"/>
      <c r="J42" s="21"/>
      <c r="K42" s="21"/>
    </row>
    <row r="43" customFormat="false" ht="15" hidden="false" customHeight="false" outlineLevel="0" collapsed="false">
      <c r="A43" s="8" t="s">
        <v>75</v>
      </c>
      <c r="B43" s="22" t="n">
        <f aca="false">'Known values'!K9</f>
        <v>29.2596944770858</v>
      </c>
      <c r="C43" s="19"/>
      <c r="D43" s="13" t="n">
        <f aca="false">'Known values'!$B$3*B43/(B43+'Known values'!$B$4)</f>
        <v>0.747</v>
      </c>
      <c r="E43" s="20"/>
      <c r="F43" s="11" t="str">
        <f aca="false">IF(E43="","",(E43-D43)*1000)</f>
        <v/>
      </c>
      <c r="G43" s="8" t="str">
        <f aca="false">IF(D43&lt;MIN('Known values'!$C$8:$C$15),INDEX('Known values'!$A$8:$A$15,1),IF(D43&gt;=MAX('Known values'!$C$8:$C$15),INDEX('Known values'!$A$8:$A$15,ROWS('Known values'!$A$8:$A$15)),IF(D43-INDEX('Known values'!$C$8:$C$15,MATCH(D43,'Known values'!$C$8:$C$15,1))&lt;=INDEX('Known values'!$C$8:$C$15,MATCH(D43,'Known values'!$C$8:$C$15,1)+1)-D43,INDEX('Known values'!$A$8:$A$15,MATCH(D43,'Known values'!$C$8:$C$15,1)),INDEX('Known values'!$A$8:$A$15,MATCH(D43,'Known values'!$C$8:$C$15,1)+1))))</f>
        <v>Sleep</v>
      </c>
      <c r="H43" s="21"/>
      <c r="I43" s="21"/>
      <c r="J43" s="21"/>
      <c r="K43" s="21"/>
    </row>
    <row r="44" customFormat="false" ht="15" hidden="false" customHeight="false" outlineLevel="0" collapsed="false">
      <c r="A44" s="8" t="s">
        <v>76</v>
      </c>
      <c r="B44" s="22" t="n">
        <f aca="false">'Known values'!K10</f>
        <v>49.4565217391304</v>
      </c>
      <c r="C44" s="19"/>
      <c r="D44" s="13" t="n">
        <f aca="false">'Known values'!$B$3*B44/(B44+'Known values'!$B$4)</f>
        <v>1.092</v>
      </c>
      <c r="E44" s="20"/>
      <c r="F44" s="11" t="str">
        <f aca="false">IF(E44="","",(E44-D44)*1000)</f>
        <v/>
      </c>
      <c r="G44" s="8" t="str">
        <f aca="false">IF(D44&lt;MIN('Known values'!$C$8:$C$15),INDEX('Known values'!$A$8:$A$15,1),IF(D44&gt;=MAX('Known values'!$C$8:$C$15),INDEX('Known values'!$A$8:$A$15,ROWS('Known values'!$A$8:$A$15)),IF(D44-INDEX('Known values'!$C$8:$C$15,MATCH(D44,'Known values'!$C$8:$C$15,1))&lt;=INDEX('Known values'!$C$8:$C$15,MATCH(D44,'Known values'!$C$8:$C$15,1)+1)-D44,INDEX('Known values'!$A$8:$A$15,MATCH(D44,'Known values'!$C$8:$C$15,1)),INDEX('Known values'!$A$8:$A$15,MATCH(D44,'Known values'!$C$8:$C$15,1)+1))))</f>
        <v>Princess</v>
      </c>
      <c r="H44" s="21"/>
      <c r="I44" s="21"/>
      <c r="J44" s="21"/>
      <c r="K44" s="21"/>
    </row>
    <row r="45" customFormat="false" ht="15" hidden="false" customHeight="false" outlineLevel="0" collapsed="false">
      <c r="A45" s="8" t="s">
        <v>77</v>
      </c>
      <c r="B45" s="22" t="n">
        <f aca="false">'Known values'!K11</f>
        <v>62.4015748031496</v>
      </c>
      <c r="C45" s="19"/>
      <c r="D45" s="13" t="n">
        <f aca="false">'Known values'!$B$3*B45/(B45+'Known values'!$B$4)</f>
        <v>1.268</v>
      </c>
      <c r="E45" s="20"/>
      <c r="F45" s="11" t="str">
        <f aca="false">IF(E45="","",(E45-D45)*1000)</f>
        <v/>
      </c>
      <c r="G45" s="8" t="str">
        <f aca="false">IF(D45&lt;MIN('Known values'!$C$8:$C$15),INDEX('Known values'!$A$8:$A$15,1),IF(D45&gt;=MAX('Known values'!$C$8:$C$15),INDEX('Known values'!$A$8:$A$15,ROWS('Known values'!$A$8:$A$15)),IF(D45-INDEX('Known values'!$C$8:$C$15,MATCH(D45,'Known values'!$C$8:$C$15,1))&lt;=INDEX('Known values'!$C$8:$C$15,MATCH(D45,'Known values'!$C$8:$C$15,1)+1)-D45,INDEX('Known values'!$A$8:$A$15,MATCH(D45,'Known values'!$C$8:$C$15,1)),INDEX('Known values'!$A$8:$A$15,MATCH(D45,'Known values'!$C$8:$C$15,1)+1))))</f>
        <v>Ninja</v>
      </c>
      <c r="H45" s="21"/>
      <c r="I45" s="21"/>
      <c r="J45" s="21"/>
      <c r="K45" s="21"/>
    </row>
    <row r="46" customFormat="false" ht="15" hidden="false" customHeight="false" outlineLevel="0" collapsed="false">
      <c r="A46" s="8" t="s">
        <v>78</v>
      </c>
      <c r="B46" s="22" t="n">
        <f aca="false">'Known values'!K12</f>
        <v>83.6393989983306</v>
      </c>
      <c r="C46" s="19"/>
      <c r="D46" s="13" t="n">
        <f aca="false">'Known values'!$B$3*B46/(B46+'Known values'!$B$4)</f>
        <v>1.503</v>
      </c>
      <c r="E46" s="20"/>
      <c r="F46" s="11" t="str">
        <f aca="false">IF(E46="","",(E46-D46)*1000)</f>
        <v/>
      </c>
      <c r="G46" s="8" t="str">
        <f aca="false">IF(D46&lt;MIN('Known values'!$C$8:$C$15),INDEX('Known values'!$A$8:$A$15,1),IF(D46&gt;=MAX('Known values'!$C$8:$C$15),INDEX('Known values'!$A$8:$A$15,ROWS('Known values'!$A$8:$A$15)),IF(D46-INDEX('Known values'!$C$8:$C$15,MATCH(D46,'Known values'!$C$8:$C$15,1))&lt;=INDEX('Known values'!$C$8:$C$15,MATCH(D46,'Known values'!$C$8:$C$15,1)+1)-D46,INDEX('Known values'!$A$8:$A$15,MATCH(D46,'Known values'!$C$8:$C$15,1)),INDEX('Known values'!$A$8:$A$15,MATCH(D46,'Known values'!$C$8:$C$15,1)+1))))</f>
        <v>Popstar</v>
      </c>
      <c r="H46" s="21"/>
      <c r="I46" s="21"/>
      <c r="J46" s="21"/>
      <c r="K46" s="21"/>
    </row>
    <row r="47" customFormat="false" ht="15" hidden="false" customHeight="false" outlineLevel="0" collapsed="false">
      <c r="A47" s="8" t="s">
        <v>79</v>
      </c>
      <c r="B47" s="22" t="n">
        <f aca="false">'Known values'!K13</f>
        <v>133.876683203402</v>
      </c>
      <c r="C47" s="19"/>
      <c r="D47" s="13" t="n">
        <f aca="false">'Known values'!$B$3*B47/(B47+'Known values'!$B$4)</f>
        <v>1.889</v>
      </c>
      <c r="E47" s="20"/>
      <c r="F47" s="11" t="str">
        <f aca="false">IF(E47="","",(E47-D47)*1000)</f>
        <v/>
      </c>
      <c r="G47" s="8" t="str">
        <f aca="false">IF(D47&lt;MIN('Known values'!$C$8:$C$15),INDEX('Known values'!$A$8:$A$15,1),IF(D47&gt;=MAX('Known values'!$C$8:$C$15),INDEX('Known values'!$A$8:$A$15,ROWS('Known values'!$A$8:$A$15)),IF(D47-INDEX('Known values'!$C$8:$C$15,MATCH(D47,'Known values'!$C$8:$C$15,1))&lt;=INDEX('Known values'!$C$8:$C$15,MATCH(D47,'Known values'!$C$8:$C$15,1)+1)-D47,INDEX('Known values'!$A$8:$A$15,MATCH(D47,'Known values'!$C$8:$C$15,1)),INDEX('Known values'!$A$8:$A$15,MATCH(D47,'Known values'!$C$8:$C$15,1)+1))))</f>
        <v>Pirate</v>
      </c>
      <c r="H47" s="21"/>
      <c r="I47" s="21"/>
      <c r="J47" s="21"/>
      <c r="K47" s="21"/>
    </row>
    <row r="48" customFormat="false" ht="15" hidden="false" customHeight="false" outlineLevel="0" collapsed="false">
      <c r="A48" s="8" t="s">
        <v>80</v>
      </c>
      <c r="B48" s="22" t="n">
        <f aca="false">'Known values'!K14</f>
        <v>233.670374115268</v>
      </c>
      <c r="C48" s="19"/>
      <c r="D48" s="13" t="n">
        <f aca="false">'Known values'!$B$3*B48/(B48+'Known values'!$B$4)</f>
        <v>2.311</v>
      </c>
      <c r="E48" s="20"/>
      <c r="F48" s="11" t="str">
        <f aca="false">IF(E48="","",(E48-D48)*1000)</f>
        <v/>
      </c>
      <c r="G48" s="8" t="str">
        <f aca="false">IF(D48&lt;MIN('Known values'!$C$8:$C$15),INDEX('Known values'!$A$8:$A$15,1),IF(D48&gt;=MAX('Known values'!$C$8:$C$15),INDEX('Known values'!$A$8:$A$15,ROWS('Known values'!$A$8:$A$15)),IF(D48-INDEX('Known values'!$C$8:$C$15,MATCH(D48,'Known values'!$C$8:$C$15,1))&lt;=INDEX('Known values'!$C$8:$C$15,MATCH(D48,'Known values'!$C$8:$C$15,1)+1)-D48,INDEX('Known values'!$A$8:$A$15,MATCH(D48,'Known values'!$C$8:$C$15,1)),INDEX('Known values'!$A$8:$A$15,MATCH(D48,'Known values'!$C$8:$C$15,1)+1))))</f>
        <v>DJ</v>
      </c>
      <c r="H48" s="21"/>
      <c r="I48" s="21"/>
      <c r="J48" s="21"/>
      <c r="K48" s="21"/>
    </row>
    <row r="50" customFormat="false" ht="15" hidden="false" customHeight="false" outlineLevel="0" collapsed="false">
      <c r="A50" s="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4" t="s">
        <v>83</v>
      </c>
      <c r="B3" s="5" t="n">
        <v>100</v>
      </c>
      <c r="C3" s="6" t="s">
        <v>84</v>
      </c>
    </row>
    <row r="4" customFormat="false" ht="15" hidden="false" customHeight="false" outlineLevel="0" collapsed="false">
      <c r="A4" s="4" t="s">
        <v>57</v>
      </c>
      <c r="B4" s="15" t="n">
        <f aca="false">'Known values'!$B$3</f>
        <v>3.3</v>
      </c>
      <c r="C4" s="15" t="n">
        <f aca="false">'Known values'!$B$4</f>
        <v>100</v>
      </c>
    </row>
    <row r="5" customFormat="false" ht="15" hidden="false" customHeight="false" outlineLevel="0" collapsed="false">
      <c r="A5" s="6" t="s">
        <v>58</v>
      </c>
    </row>
    <row r="7" customFormat="false" ht="55.5" hidden="false" customHeight="true" outlineLevel="0" collapsed="false">
      <c r="A7" s="7" t="s">
        <v>59</v>
      </c>
      <c r="B7" s="7" t="s">
        <v>85</v>
      </c>
      <c r="C7" s="7" t="s">
        <v>61</v>
      </c>
      <c r="D7" s="7" t="s">
        <v>86</v>
      </c>
      <c r="E7" s="7" t="s">
        <v>63</v>
      </c>
      <c r="F7" s="7" t="s">
        <v>64</v>
      </c>
      <c r="G7" s="7" t="s">
        <v>66</v>
      </c>
      <c r="H7" s="7" t="s">
        <v>67</v>
      </c>
      <c r="I7" s="7" t="s">
        <v>68</v>
      </c>
      <c r="J7" s="7" t="s">
        <v>47</v>
      </c>
    </row>
    <row r="8" customFormat="false" ht="15" hidden="false" customHeight="false" outlineLevel="0" collapsed="false">
      <c r="A8" s="16" t="s">
        <v>69</v>
      </c>
      <c r="B8" s="17" t="n">
        <v>110</v>
      </c>
      <c r="C8" s="17" t="n">
        <v>109.8</v>
      </c>
      <c r="D8" s="18" t="n">
        <f aca="false">'Known values'!$B$3*B8/(B8+'Known values'!$B$4)</f>
        <v>1.72857142857143</v>
      </c>
      <c r="E8" s="18" t="n">
        <v>1.732</v>
      </c>
      <c r="F8" s="17" t="n">
        <f aca="false">IF(E8="","",(E8-D8)*1000)</f>
        <v>3.42857142857134</v>
      </c>
      <c r="G8" s="16" t="s">
        <v>87</v>
      </c>
      <c r="H8" s="16" t="n">
        <v>0</v>
      </c>
      <c r="I8" s="16" t="s">
        <v>71</v>
      </c>
      <c r="J8" s="16" t="s">
        <v>72</v>
      </c>
    </row>
    <row r="9" customFormat="false" ht="15" hidden="false" customHeight="false" outlineLevel="0" collapsed="false">
      <c r="A9" s="8" t="n">
        <v>1</v>
      </c>
      <c r="B9" s="19" t="n">
        <v>50</v>
      </c>
      <c r="C9" s="19"/>
      <c r="D9" s="13" t="n">
        <f aca="false">'Known values'!$B$3*B9/(B9+'Known values'!$B$4)</f>
        <v>1.1</v>
      </c>
      <c r="E9" s="20"/>
      <c r="F9" s="11" t="str">
        <f aca="false">IF(E9="","",(E9-D9)*1000)</f>
        <v/>
      </c>
      <c r="G9" s="21"/>
      <c r="H9" s="21"/>
      <c r="I9" s="21"/>
      <c r="J9" s="21"/>
    </row>
    <row r="10" customFormat="false" ht="15" hidden="false" customHeight="false" outlineLevel="0" collapsed="false">
      <c r="A10" s="8" t="n">
        <v>2</v>
      </c>
      <c r="B10" s="19" t="n">
        <v>60</v>
      </c>
      <c r="C10" s="19"/>
      <c r="D10" s="13" t="n">
        <f aca="false">'Known values'!$B$3*B10/(B10+'Known values'!$B$4)</f>
        <v>1.2375</v>
      </c>
      <c r="E10" s="20"/>
      <c r="F10" s="11" t="str">
        <f aca="false">IF(E10="","",(E10-D10)*1000)</f>
        <v/>
      </c>
      <c r="G10" s="21"/>
      <c r="H10" s="21"/>
      <c r="I10" s="21"/>
      <c r="J10" s="21"/>
    </row>
    <row r="11" customFormat="false" ht="15" hidden="false" customHeight="false" outlineLevel="0" collapsed="false">
      <c r="A11" s="8" t="n">
        <v>3</v>
      </c>
      <c r="B11" s="19" t="n">
        <v>70</v>
      </c>
      <c r="C11" s="19"/>
      <c r="D11" s="13" t="n">
        <f aca="false">'Known values'!$B$3*B11/(B11+'Known values'!$B$4)</f>
        <v>1.35882352941176</v>
      </c>
      <c r="E11" s="20"/>
      <c r="F11" s="11" t="str">
        <f aca="false">IF(E11="","",(E11-D11)*1000)</f>
        <v/>
      </c>
      <c r="G11" s="21"/>
      <c r="H11" s="21"/>
      <c r="I11" s="21"/>
      <c r="J11" s="21"/>
    </row>
    <row r="12" customFormat="false" ht="15" hidden="false" customHeight="false" outlineLevel="0" collapsed="false">
      <c r="A12" s="8" t="n">
        <v>4</v>
      </c>
      <c r="B12" s="19" t="n">
        <v>80</v>
      </c>
      <c r="C12" s="19"/>
      <c r="D12" s="13" t="n">
        <f aca="false">'Known values'!$B$3*B12/(B12+'Known values'!$B$4)</f>
        <v>1.46666666666667</v>
      </c>
      <c r="E12" s="20"/>
      <c r="F12" s="11" t="str">
        <f aca="false">IF(E12="","",(E12-D12)*1000)</f>
        <v/>
      </c>
      <c r="G12" s="21"/>
      <c r="H12" s="21"/>
      <c r="I12" s="21"/>
      <c r="J12" s="21"/>
    </row>
    <row r="13" customFormat="false" ht="15" hidden="false" customHeight="false" outlineLevel="0" collapsed="false">
      <c r="A13" s="8" t="n">
        <v>5</v>
      </c>
      <c r="B13" s="19" t="n">
        <v>85</v>
      </c>
      <c r="C13" s="19"/>
      <c r="D13" s="13" t="n">
        <f aca="false">'Known values'!$B$3*B13/(B13+'Known values'!$B$4)</f>
        <v>1.51621621621622</v>
      </c>
      <c r="E13" s="20"/>
      <c r="F13" s="11" t="str">
        <f aca="false">IF(E13="","",(E13-D13)*1000)</f>
        <v/>
      </c>
      <c r="G13" s="21"/>
      <c r="H13" s="21"/>
      <c r="I13" s="21"/>
      <c r="J13" s="21"/>
    </row>
    <row r="14" customFormat="false" ht="15" hidden="false" customHeight="false" outlineLevel="0" collapsed="false">
      <c r="A14" s="8" t="n">
        <v>6</v>
      </c>
      <c r="B14" s="19" t="n">
        <v>88.7</v>
      </c>
      <c r="C14" s="19"/>
      <c r="D14" s="13" t="n">
        <f aca="false">'Known values'!$B$3*B14/(B14+'Known values'!$B$4)</f>
        <v>1.55119236883943</v>
      </c>
      <c r="E14" s="20"/>
      <c r="F14" s="11" t="str">
        <f aca="false">IF(E14="","",(E14-D14)*1000)</f>
        <v/>
      </c>
      <c r="G14" s="21"/>
      <c r="H14" s="21"/>
      <c r="I14" s="21"/>
      <c r="J14" s="21"/>
    </row>
    <row r="15" customFormat="false" ht="15" hidden="false" customHeight="false" outlineLevel="0" collapsed="false">
      <c r="A15" s="8" t="n">
        <v>7</v>
      </c>
      <c r="B15" s="19" t="n">
        <v>90.9</v>
      </c>
      <c r="C15" s="19"/>
      <c r="D15" s="13" t="n">
        <f aca="false">'Known values'!$B$3*B15/(B15+'Known values'!$B$4)</f>
        <v>1.57134625458355</v>
      </c>
      <c r="E15" s="20"/>
      <c r="F15" s="11" t="str">
        <f aca="false">IF(E15="","",(E15-D15)*1000)</f>
        <v/>
      </c>
      <c r="G15" s="21"/>
      <c r="H15" s="21"/>
      <c r="I15" s="21"/>
      <c r="J15" s="21"/>
    </row>
    <row r="16" customFormat="false" ht="15" hidden="false" customHeight="false" outlineLevel="0" collapsed="false">
      <c r="A16" s="8" t="n">
        <v>8</v>
      </c>
      <c r="B16" s="19" t="n">
        <v>95.3</v>
      </c>
      <c r="C16" s="19"/>
      <c r="D16" s="13" t="n">
        <f aca="false">'Known values'!$B$3*B16/(B16+'Known values'!$B$4)</f>
        <v>1.61029185867896</v>
      </c>
      <c r="E16" s="20"/>
      <c r="F16" s="11" t="str">
        <f aca="false">IF(E16="","",(E16-D16)*1000)</f>
        <v/>
      </c>
      <c r="G16" s="21"/>
      <c r="H16" s="21"/>
      <c r="I16" s="21"/>
      <c r="J16" s="21"/>
    </row>
    <row r="17" customFormat="false" ht="15" hidden="false" customHeight="false" outlineLevel="0" collapsed="false">
      <c r="A17" s="8" t="n">
        <v>9</v>
      </c>
      <c r="B17" s="19" t="n">
        <v>100</v>
      </c>
      <c r="C17" s="19"/>
      <c r="D17" s="13" t="n">
        <f aca="false">'Known values'!$B$3*B17/(B17+'Known values'!$B$4)</f>
        <v>1.65</v>
      </c>
      <c r="E17" s="20"/>
      <c r="F17" s="11" t="str">
        <f aca="false">IF(E17="","",(E17-D17)*1000)</f>
        <v/>
      </c>
      <c r="G17" s="21"/>
      <c r="H17" s="21"/>
      <c r="I17" s="21"/>
      <c r="J17" s="21"/>
    </row>
    <row r="18" customFormat="false" ht="15" hidden="false" customHeight="false" outlineLevel="0" collapsed="false">
      <c r="A18" s="8" t="n">
        <v>10</v>
      </c>
      <c r="B18" s="19" t="n">
        <v>102</v>
      </c>
      <c r="C18" s="19"/>
      <c r="D18" s="13" t="n">
        <f aca="false">'Known values'!$B$3*B18/(B18+'Known values'!$B$4)</f>
        <v>1.66633663366337</v>
      </c>
      <c r="E18" s="20"/>
      <c r="F18" s="11" t="str">
        <f aca="false">IF(E18="","",(E18-D18)*1000)</f>
        <v/>
      </c>
      <c r="G18" s="21"/>
      <c r="H18" s="21"/>
      <c r="I18" s="21"/>
      <c r="J18" s="21"/>
    </row>
    <row r="19" customFormat="false" ht="15" hidden="false" customHeight="false" outlineLevel="0" collapsed="false">
      <c r="A19" s="8" t="n">
        <v>11</v>
      </c>
      <c r="B19" s="19" t="n">
        <v>105</v>
      </c>
      <c r="C19" s="19"/>
      <c r="D19" s="13" t="n">
        <f aca="false">'Known values'!$B$3*B19/(B19+'Known values'!$B$4)</f>
        <v>1.69024390243902</v>
      </c>
      <c r="E19" s="20"/>
      <c r="F19" s="11" t="str">
        <f aca="false">IF(E19="","",(E19-D19)*1000)</f>
        <v/>
      </c>
      <c r="G19" s="21"/>
      <c r="H19" s="21"/>
      <c r="I19" s="21"/>
      <c r="J19" s="21"/>
    </row>
    <row r="20" customFormat="false" ht="15" hidden="false" customHeight="false" outlineLevel="0" collapsed="false">
      <c r="A20" s="8" t="n">
        <v>12</v>
      </c>
      <c r="B20" s="19" t="n">
        <v>107</v>
      </c>
      <c r="C20" s="19"/>
      <c r="D20" s="13" t="n">
        <f aca="false">'Known values'!$B$3*B20/(B20+'Known values'!$B$4)</f>
        <v>1.70579710144928</v>
      </c>
      <c r="E20" s="20"/>
      <c r="F20" s="11" t="str">
        <f aca="false">IF(E20="","",(E20-D20)*1000)</f>
        <v/>
      </c>
      <c r="G20" s="21"/>
      <c r="H20" s="21"/>
      <c r="I20" s="21"/>
      <c r="J20" s="21"/>
    </row>
    <row r="21" customFormat="false" ht="15" hidden="false" customHeight="false" outlineLevel="0" collapsed="false">
      <c r="A21" s="8" t="n">
        <v>13</v>
      </c>
      <c r="B21" s="19" t="n">
        <v>110</v>
      </c>
      <c r="C21" s="19"/>
      <c r="D21" s="13" t="n">
        <f aca="false">'Known values'!$B$3*B21/(B21+'Known values'!$B$4)</f>
        <v>1.72857142857143</v>
      </c>
      <c r="E21" s="20"/>
      <c r="F21" s="11" t="str">
        <f aca="false">IF(E21="","",(E21-D21)*1000)</f>
        <v/>
      </c>
      <c r="G21" s="21"/>
      <c r="H21" s="21"/>
      <c r="I21" s="21"/>
      <c r="J21" s="21"/>
    </row>
    <row r="22" customFormat="false" ht="15" hidden="false" customHeight="false" outlineLevel="0" collapsed="false">
      <c r="A22" s="8" t="n">
        <v>14</v>
      </c>
      <c r="B22" s="19" t="n">
        <v>113</v>
      </c>
      <c r="C22" s="19"/>
      <c r="D22" s="13" t="n">
        <f aca="false">'Known values'!$B$3*B22/(B22+'Known values'!$B$4)</f>
        <v>1.75070422535211</v>
      </c>
      <c r="E22" s="20"/>
      <c r="F22" s="11" t="str">
        <f aca="false">IF(E22="","",(E22-D22)*1000)</f>
        <v/>
      </c>
      <c r="G22" s="21"/>
      <c r="H22" s="21"/>
      <c r="I22" s="21"/>
      <c r="J22" s="21"/>
    </row>
    <row r="23" customFormat="false" ht="15" hidden="false" customHeight="false" outlineLevel="0" collapsed="false">
      <c r="A23" s="8" t="n">
        <v>15</v>
      </c>
      <c r="B23" s="19" t="n">
        <v>120</v>
      </c>
      <c r="C23" s="19"/>
      <c r="D23" s="13" t="n">
        <f aca="false">'Known values'!$B$3*B23/(B23+'Known values'!$B$4)</f>
        <v>1.8</v>
      </c>
      <c r="E23" s="20"/>
      <c r="F23" s="11" t="str">
        <f aca="false">IF(E23="","",(E23-D23)*1000)</f>
        <v/>
      </c>
      <c r="G23" s="21"/>
      <c r="H23" s="21"/>
      <c r="I23" s="21"/>
      <c r="J23" s="21"/>
    </row>
    <row r="24" customFormat="false" ht="15" hidden="false" customHeight="false" outlineLevel="0" collapsed="false">
      <c r="A24" s="8" t="n">
        <v>16</v>
      </c>
      <c r="B24" s="19" t="n">
        <v>130</v>
      </c>
      <c r="C24" s="19"/>
      <c r="D24" s="13" t="n">
        <f aca="false">'Known values'!$B$3*B24/(B24+'Known values'!$B$4)</f>
        <v>1.86521739130435</v>
      </c>
      <c r="E24" s="20"/>
      <c r="F24" s="11" t="str">
        <f aca="false">IF(E24="","",(E24-D24)*1000)</f>
        <v/>
      </c>
      <c r="G24" s="21"/>
      <c r="H24" s="21"/>
      <c r="I24" s="21"/>
      <c r="J24" s="21"/>
    </row>
    <row r="25" customFormat="false" ht="15" hidden="false" customHeight="false" outlineLevel="0" collapsed="false">
      <c r="A25" s="8" t="n">
        <v>17</v>
      </c>
      <c r="B25" s="19" t="n">
        <v>150</v>
      </c>
      <c r="C25" s="19"/>
      <c r="D25" s="13" t="n">
        <f aca="false">'Known values'!$B$3*B25/(B25+'Known values'!$B$4)</f>
        <v>1.98</v>
      </c>
      <c r="E25" s="20"/>
      <c r="F25" s="11" t="str">
        <f aca="false">IF(E25="","",(E25-D25)*1000)</f>
        <v/>
      </c>
      <c r="G25" s="21"/>
      <c r="H25" s="21"/>
      <c r="I25" s="21"/>
      <c r="J25" s="21"/>
    </row>
    <row r="26" customFormat="false" ht="15" hidden="false" customHeight="false" outlineLevel="0" collapsed="false">
      <c r="A26" s="8" t="n">
        <v>18</v>
      </c>
      <c r="B26" s="19" t="n">
        <v>200</v>
      </c>
      <c r="C26" s="19"/>
      <c r="D26" s="13" t="n">
        <f aca="false">'Known values'!$B$3*B26/(B26+'Known values'!$B$4)</f>
        <v>2.2</v>
      </c>
      <c r="E26" s="20"/>
      <c r="F26" s="11" t="str">
        <f aca="false">IF(E26="","",(E26-D26)*1000)</f>
        <v/>
      </c>
      <c r="G26" s="21"/>
      <c r="H26" s="21"/>
      <c r="I26" s="21"/>
      <c r="J26" s="21"/>
    </row>
    <row r="27" customFormat="false" ht="15" hidden="false" customHeight="false" outlineLevel="0" collapsed="false">
      <c r="A27" s="8" t="n">
        <v>19</v>
      </c>
      <c r="B27" s="19" t="n">
        <v>300</v>
      </c>
      <c r="C27" s="19"/>
      <c r="D27" s="13" t="n">
        <f aca="false">'Known values'!$B$3*B27/(B27+'Known values'!$B$4)</f>
        <v>2.475</v>
      </c>
      <c r="E27" s="20"/>
      <c r="F27" s="11" t="str">
        <f aca="false">IF(E27="","",(E27-D27)*1000)</f>
        <v/>
      </c>
      <c r="G27" s="21"/>
      <c r="H27" s="21"/>
      <c r="I27" s="21"/>
      <c r="J27" s="21"/>
    </row>
    <row r="28" customFormat="false" ht="15" hidden="false" customHeight="false" outlineLevel="0" collapsed="false">
      <c r="A28" s="8" t="s">
        <v>88</v>
      </c>
      <c r="B28" s="19" t="n">
        <v>1000000</v>
      </c>
      <c r="C28" s="19"/>
      <c r="D28" s="13" t="n">
        <f aca="false">'Known values'!$B$3*B28/(B28+'Known values'!$B$4)</f>
        <v>3.2996700329967</v>
      </c>
      <c r="E28" s="20"/>
      <c r="F28" s="11" t="str">
        <f aca="false">IF(E28="","",(E28-D28)*1000)</f>
        <v/>
      </c>
      <c r="G28" s="21"/>
      <c r="H28" s="21"/>
      <c r="I28" s="21"/>
      <c r="J28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4" t="s">
        <v>90</v>
      </c>
      <c r="B3" s="5" t="s">
        <v>44</v>
      </c>
      <c r="C3" s="6" t="s">
        <v>91</v>
      </c>
    </row>
    <row r="4" customFormat="false" ht="15" hidden="false" customHeight="false" outlineLevel="0" collapsed="false">
      <c r="A4" s="4" t="s">
        <v>92</v>
      </c>
      <c r="B4" s="23" t="n">
        <f aca="false">INDEX('Known values'!$E$8:$E$15,MATCH($B$3,'Known values'!$A$8:$A$15,0))</f>
        <v>101.342281879195</v>
      </c>
    </row>
    <row r="5" customFormat="false" ht="15" hidden="false" customHeight="false" outlineLevel="0" collapsed="false">
      <c r="A5" s="4" t="s">
        <v>93</v>
      </c>
      <c r="B5" s="23" t="n">
        <f aca="false">INDEX('Known values'!$F$8:$F$15,MATCH($B$3,'Known values'!$A$8:$A$15,0))</f>
        <v>101.342281879195</v>
      </c>
    </row>
    <row r="7" customFormat="false" ht="15" hidden="false" customHeight="false" outlineLevel="0" collapsed="false">
      <c r="A7" s="4" t="s">
        <v>94</v>
      </c>
      <c r="C7" s="6" t="s">
        <v>95</v>
      </c>
    </row>
    <row r="8" customFormat="false" ht="42" hidden="false" customHeight="true" outlineLevel="0" collapsed="false">
      <c r="A8" s="7" t="s">
        <v>59</v>
      </c>
      <c r="B8" s="7" t="s">
        <v>96</v>
      </c>
      <c r="C8" s="7" t="s">
        <v>97</v>
      </c>
      <c r="D8" s="7" t="s">
        <v>98</v>
      </c>
      <c r="E8" s="7" t="s">
        <v>99</v>
      </c>
      <c r="F8" s="7" t="s">
        <v>100</v>
      </c>
      <c r="G8" s="7" t="s">
        <v>101</v>
      </c>
      <c r="H8" s="7" t="s">
        <v>67</v>
      </c>
      <c r="I8" s="7" t="s">
        <v>47</v>
      </c>
    </row>
    <row r="9" customFormat="false" ht="15" hidden="false" customHeight="false" outlineLevel="0" collapsed="false">
      <c r="A9" s="8" t="n">
        <v>1</v>
      </c>
      <c r="B9" s="9" t="n">
        <v>90</v>
      </c>
      <c r="C9" s="11" t="n">
        <f aca="false">$B$4*B9/100</f>
        <v>91.2080536912752</v>
      </c>
      <c r="D9" s="13" t="n">
        <f aca="false">'Known values'!$B$3*C9/(C9+'Known values'!$B$4)</f>
        <v>1.57413127413127</v>
      </c>
      <c r="E9" s="11" t="n">
        <f aca="false">(D9-('Known values'!$B$3*$B$4/($B$4+'Known values'!$B$4)))*1000</f>
        <v>-86.868725868726</v>
      </c>
      <c r="F9" s="20"/>
      <c r="G9" s="21"/>
      <c r="H9" s="21"/>
      <c r="I9" s="21"/>
    </row>
    <row r="10" customFormat="false" ht="15" hidden="false" customHeight="false" outlineLevel="0" collapsed="false">
      <c r="A10" s="8" t="n">
        <v>2</v>
      </c>
      <c r="B10" s="9" t="n">
        <v>92</v>
      </c>
      <c r="C10" s="11" t="n">
        <f aca="false">$B$4*B10/100</f>
        <v>93.2348993288591</v>
      </c>
      <c r="D10" s="13" t="n">
        <f aca="false">'Known values'!$B$3*C10/(C10+'Known values'!$B$4)</f>
        <v>1.59223395387608</v>
      </c>
      <c r="E10" s="11" t="n">
        <f aca="false">(D10-('Known values'!$B$3*$B$4/($B$4+'Known values'!$B$4)))*1000</f>
        <v>-68.7660461239235</v>
      </c>
      <c r="F10" s="20"/>
      <c r="G10" s="21"/>
      <c r="H10" s="21"/>
      <c r="I10" s="21"/>
    </row>
    <row r="11" customFormat="false" ht="15" hidden="false" customHeight="false" outlineLevel="0" collapsed="false">
      <c r="A11" s="8" t="n">
        <v>3</v>
      </c>
      <c r="B11" s="9" t="n">
        <v>94</v>
      </c>
      <c r="C11" s="11" t="n">
        <f aca="false">$B$4*B11/100</f>
        <v>95.261744966443</v>
      </c>
      <c r="D11" s="13" t="n">
        <f aca="false">'Known values'!$B$3*C11/(C11+'Known values'!$B$4)</f>
        <v>1.60996081666323</v>
      </c>
      <c r="E11" s="11" t="n">
        <f aca="false">(D11-('Known values'!$B$3*$B$4/($B$4+'Known values'!$B$4)))*1000</f>
        <v>-51.0391833367705</v>
      </c>
      <c r="F11" s="20"/>
      <c r="G11" s="21"/>
      <c r="H11" s="21"/>
      <c r="I11" s="21"/>
    </row>
    <row r="12" customFormat="false" ht="15" hidden="false" customHeight="false" outlineLevel="0" collapsed="false">
      <c r="A12" s="8" t="n">
        <v>4</v>
      </c>
      <c r="B12" s="9" t="n">
        <v>96</v>
      </c>
      <c r="C12" s="11" t="n">
        <f aca="false">$B$4*B12/100</f>
        <v>97.2885906040269</v>
      </c>
      <c r="D12" s="13" t="n">
        <f aca="false">'Known values'!$B$3*C12/(C12+'Known values'!$B$4)</f>
        <v>1.62732344536672</v>
      </c>
      <c r="E12" s="11" t="n">
        <f aca="false">(D12-('Known values'!$B$3*$B$4/($B$4+'Known values'!$B$4)))*1000</f>
        <v>-33.6765546332833</v>
      </c>
      <c r="F12" s="20"/>
      <c r="G12" s="21"/>
      <c r="H12" s="21"/>
      <c r="I12" s="21"/>
    </row>
    <row r="13" customFormat="false" ht="15" hidden="false" customHeight="false" outlineLevel="0" collapsed="false">
      <c r="A13" s="8" t="n">
        <v>5</v>
      </c>
      <c r="B13" s="9" t="n">
        <v>97</v>
      </c>
      <c r="C13" s="11" t="n">
        <f aca="false">$B$4*B13/100</f>
        <v>98.3020134228188</v>
      </c>
      <c r="D13" s="13" t="n">
        <f aca="false">'Known values'!$B$3*C13/(C13+'Known values'!$B$4)</f>
        <v>1.63587166209768</v>
      </c>
      <c r="E13" s="11" t="n">
        <f aca="false">(D13-('Known values'!$B$3*$B$4/($B$4+'Known values'!$B$4)))*1000</f>
        <v>-25.1283379023248</v>
      </c>
      <c r="F13" s="20"/>
      <c r="G13" s="21"/>
      <c r="H13" s="21"/>
      <c r="I13" s="21"/>
    </row>
    <row r="14" customFormat="false" ht="15" hidden="false" customHeight="false" outlineLevel="0" collapsed="false">
      <c r="A14" s="8" t="n">
        <v>6</v>
      </c>
      <c r="B14" s="9" t="n">
        <v>98</v>
      </c>
      <c r="C14" s="11" t="n">
        <f aca="false">$B$4*B14/100</f>
        <v>99.3154362416108</v>
      </c>
      <c r="D14" s="13" t="n">
        <f aca="false">'Known values'!$B$3*C14/(C14+'Known values'!$B$4)</f>
        <v>1.64433295171392</v>
      </c>
      <c r="E14" s="11" t="n">
        <f aca="false">(D14-('Known values'!$B$3*$B$4/($B$4+'Known values'!$B$4)))*1000</f>
        <v>-16.66704828608</v>
      </c>
      <c r="F14" s="20"/>
      <c r="G14" s="21"/>
      <c r="H14" s="21"/>
      <c r="I14" s="21"/>
    </row>
    <row r="15" customFormat="false" ht="15" hidden="false" customHeight="false" outlineLevel="0" collapsed="false">
      <c r="A15" s="8" t="n">
        <v>7</v>
      </c>
      <c r="B15" s="9" t="n">
        <v>99</v>
      </c>
      <c r="C15" s="11" t="n">
        <f aca="false">$B$4*B15/100</f>
        <v>100.328859060403</v>
      </c>
      <c r="D15" s="13" t="n">
        <f aca="false">'Known values'!$B$3*C15/(C15+'Known values'!$B$4)</f>
        <v>1.65270863345506</v>
      </c>
      <c r="E15" s="11" t="n">
        <f aca="false">(D15-('Known values'!$B$3*$B$4/($B$4+'Known values'!$B$4)))*1000</f>
        <v>-8.29136654494289</v>
      </c>
      <c r="F15" s="20"/>
      <c r="G15" s="21"/>
      <c r="H15" s="21"/>
      <c r="I15" s="21"/>
    </row>
    <row r="16" customFormat="false" ht="15" hidden="false" customHeight="false" outlineLevel="0" collapsed="false">
      <c r="A16" s="8" t="n">
        <v>8</v>
      </c>
      <c r="B16" s="9" t="n">
        <v>100</v>
      </c>
      <c r="C16" s="11" t="n">
        <f aca="false">$B$4*B16/100</f>
        <v>101.342281879195</v>
      </c>
      <c r="D16" s="13" t="n">
        <f aca="false">'Known values'!$B$3*C16/(C16+'Known values'!$B$4)</f>
        <v>1.661</v>
      </c>
      <c r="E16" s="11" t="n">
        <f aca="false">(D16-('Known values'!$B$3*$B$4/($B$4+'Known values'!$B$4)))*1000</f>
        <v>0</v>
      </c>
      <c r="F16" s="20"/>
      <c r="G16" s="21"/>
      <c r="H16" s="21"/>
      <c r="I16" s="21"/>
    </row>
    <row r="17" customFormat="false" ht="15" hidden="false" customHeight="false" outlineLevel="0" collapsed="false">
      <c r="A17" s="8" t="n">
        <v>9</v>
      </c>
      <c r="B17" s="9" t="n">
        <v>101</v>
      </c>
      <c r="C17" s="11" t="n">
        <f aca="false">$B$4*B17/100</f>
        <v>102.355704697987</v>
      </c>
      <c r="D17" s="13" t="n">
        <f aca="false">'Known values'!$B$3*C17/(C17+'Known values'!$B$4)</f>
        <v>1.66920831813207</v>
      </c>
      <c r="E17" s="11" t="n">
        <f aca="false">(D17-('Known values'!$B$3*$B$4/($B$4+'Known values'!$B$4)))*1000</f>
        <v>8.20831813206824</v>
      </c>
      <c r="F17" s="20"/>
      <c r="G17" s="21"/>
      <c r="H17" s="21"/>
      <c r="I17" s="21"/>
    </row>
    <row r="18" customFormat="false" ht="15" hidden="false" customHeight="false" outlineLevel="0" collapsed="false">
      <c r="A18" s="8" t="n">
        <v>10</v>
      </c>
      <c r="B18" s="9" t="n">
        <v>102</v>
      </c>
      <c r="C18" s="11" t="n">
        <f aca="false">$B$4*B18/100</f>
        <v>103.369127516779</v>
      </c>
      <c r="D18" s="13" t="n">
        <f aca="false">'Known values'!$B$3*C18/(C18+'Known values'!$B$4)</f>
        <v>1.6773348293842</v>
      </c>
      <c r="E18" s="11" t="n">
        <f aca="false">(D18-('Known values'!$B$3*$B$4/($B$4+'Known values'!$B$4)))*1000</f>
        <v>16.3348293841992</v>
      </c>
      <c r="F18" s="20"/>
      <c r="G18" s="21"/>
      <c r="H18" s="21"/>
      <c r="I18" s="21"/>
    </row>
    <row r="19" customFormat="false" ht="15" hidden="false" customHeight="false" outlineLevel="0" collapsed="false">
      <c r="A19" s="8" t="n">
        <v>11</v>
      </c>
      <c r="B19" s="9" t="n">
        <v>103</v>
      </c>
      <c r="C19" s="11" t="n">
        <f aca="false">$B$4*B19/100</f>
        <v>104.38255033557</v>
      </c>
      <c r="D19" s="13" t="n">
        <f aca="false">'Known values'!$B$3*C19/(C19+'Known values'!$B$4)</f>
        <v>1.68538075066496</v>
      </c>
      <c r="E19" s="11" t="n">
        <f aca="false">(D19-('Known values'!$B$3*$B$4/($B$4+'Known values'!$B$4)))*1000</f>
        <v>24.3807506649589</v>
      </c>
      <c r="F19" s="20"/>
      <c r="G19" s="21"/>
      <c r="H19" s="21"/>
      <c r="I19" s="21"/>
    </row>
    <row r="20" customFormat="false" ht="15" hidden="false" customHeight="false" outlineLevel="0" collapsed="false">
      <c r="A20" s="8" t="n">
        <v>12</v>
      </c>
      <c r="B20" s="9" t="n">
        <v>104</v>
      </c>
      <c r="C20" s="11" t="n">
        <f aca="false">$B$4*B20/100</f>
        <v>105.395973154362</v>
      </c>
      <c r="D20" s="13" t="n">
        <f aca="false">'Known values'!$B$3*C20/(C20+'Known values'!$B$4)</f>
        <v>1.69334727486603</v>
      </c>
      <c r="E20" s="11" t="n">
        <f aca="false">(D20-('Known values'!$B$3*$B$4/($B$4+'Known values'!$B$4)))*1000</f>
        <v>32.3472748660307</v>
      </c>
      <c r="F20" s="20"/>
      <c r="G20" s="21"/>
      <c r="H20" s="21"/>
      <c r="I20" s="21"/>
    </row>
    <row r="21" customFormat="false" ht="15" hidden="false" customHeight="false" outlineLevel="0" collapsed="false">
      <c r="A21" s="8" t="n">
        <v>13</v>
      </c>
      <c r="B21" s="9" t="n">
        <v>106</v>
      </c>
      <c r="C21" s="11" t="n">
        <f aca="false">$B$4*B21/100</f>
        <v>107.422818791946</v>
      </c>
      <c r="D21" s="13" t="n">
        <f aca="false">'Known values'!$B$3*C21/(C21+'Known values'!$B$4)</f>
        <v>1.70904678703164</v>
      </c>
      <c r="E21" s="11" t="n">
        <f aca="false">(D21-('Known values'!$B$3*$B$4/($B$4+'Known values'!$B$4)))*1000</f>
        <v>48.0467870316443</v>
      </c>
      <c r="F21" s="20"/>
      <c r="G21" s="21"/>
      <c r="H21" s="21"/>
      <c r="I21" s="21"/>
    </row>
    <row r="22" customFormat="false" ht="15" hidden="false" customHeight="false" outlineLevel="0" collapsed="false">
      <c r="A22" s="8" t="n">
        <v>14</v>
      </c>
      <c r="B22" s="9" t="n">
        <v>108</v>
      </c>
      <c r="C22" s="11" t="n">
        <f aca="false">$B$4*B22/100</f>
        <v>109.44966442953</v>
      </c>
      <c r="D22" s="13" t="n">
        <f aca="false">'Known values'!$B$3*C22/(C22+'Known values'!$B$4)</f>
        <v>1.72444245065368</v>
      </c>
      <c r="E22" s="11" t="n">
        <f aca="false">(D22-('Known values'!$B$3*$B$4/($B$4+'Known values'!$B$4)))*1000</f>
        <v>63.4424506536786</v>
      </c>
      <c r="F22" s="20"/>
      <c r="G22" s="21"/>
      <c r="H22" s="21"/>
      <c r="I22" s="21"/>
    </row>
    <row r="23" customFormat="false" ht="15" hidden="false" customHeight="false" outlineLevel="0" collapsed="false">
      <c r="A23" s="8" t="n">
        <v>15</v>
      </c>
      <c r="B23" s="9" t="n">
        <v>110</v>
      </c>
      <c r="C23" s="11" t="n">
        <f aca="false">$B$4*B23/100</f>
        <v>111.476510067114</v>
      </c>
      <c r="D23" s="13" t="n">
        <f aca="false">'Known values'!$B$3*C23/(C23+'Known values'!$B$4)</f>
        <v>1.73954300222152</v>
      </c>
      <c r="E23" s="11" t="n">
        <f aca="false">(D23-('Known values'!$B$3*$B$4/($B$4+'Known values'!$B$4)))*1000</f>
        <v>78.543002221517</v>
      </c>
      <c r="F23" s="20"/>
      <c r="G23" s="21"/>
      <c r="H23" s="21"/>
      <c r="I23" s="21"/>
    </row>
    <row r="26" customFormat="false" ht="15" hidden="false" customHeight="false" outlineLevel="0" collapsed="false">
      <c r="A26" s="4" t="s">
        <v>102</v>
      </c>
      <c r="C26" s="6" t="s">
        <v>103</v>
      </c>
    </row>
    <row r="27" customFormat="false" ht="42" hidden="false" customHeight="true" outlineLevel="0" collapsed="false">
      <c r="A27" s="7" t="s">
        <v>59</v>
      </c>
      <c r="B27" s="7" t="s">
        <v>96</v>
      </c>
      <c r="C27" s="7" t="s">
        <v>97</v>
      </c>
      <c r="D27" s="7" t="s">
        <v>98</v>
      </c>
      <c r="E27" s="7" t="s">
        <v>99</v>
      </c>
      <c r="F27" s="7" t="s">
        <v>100</v>
      </c>
      <c r="G27" s="7" t="s">
        <v>101</v>
      </c>
      <c r="H27" s="7" t="s">
        <v>67</v>
      </c>
      <c r="I27" s="7" t="s">
        <v>47</v>
      </c>
    </row>
    <row r="28" customFormat="false" ht="15" hidden="false" customHeight="false" outlineLevel="0" collapsed="false">
      <c r="A28" s="8" t="n">
        <v>1</v>
      </c>
      <c r="B28" s="9" t="n">
        <v>90</v>
      </c>
      <c r="C28" s="11" t="n">
        <f aca="false">$B$5*B28/100</f>
        <v>91.2080536912752</v>
      </c>
      <c r="D28" s="13" t="n">
        <f aca="false">'Known values'!$B$3*C28/(C28+'Known values'!$B$4)</f>
        <v>1.57413127413127</v>
      </c>
      <c r="E28" s="11" t="n">
        <f aca="false">(D28-('Known values'!$B$3*$B$5/($B$5+'Known values'!$B$4)))*1000</f>
        <v>-86.868725868726</v>
      </c>
      <c r="F28" s="20"/>
      <c r="G28" s="21"/>
      <c r="H28" s="21"/>
      <c r="I28" s="21"/>
    </row>
    <row r="29" customFormat="false" ht="15" hidden="false" customHeight="false" outlineLevel="0" collapsed="false">
      <c r="A29" s="8" t="n">
        <v>2</v>
      </c>
      <c r="B29" s="9" t="n">
        <v>92</v>
      </c>
      <c r="C29" s="11" t="n">
        <f aca="false">$B$5*B29/100</f>
        <v>93.2348993288591</v>
      </c>
      <c r="D29" s="13" t="n">
        <f aca="false">'Known values'!$B$3*C29/(C29+'Known values'!$B$4)</f>
        <v>1.59223395387608</v>
      </c>
      <c r="E29" s="11" t="n">
        <f aca="false">(D29-('Known values'!$B$3*$B$5/($B$5+'Known values'!$B$4)))*1000</f>
        <v>-68.7660461239235</v>
      </c>
      <c r="F29" s="20"/>
      <c r="G29" s="21"/>
      <c r="H29" s="21"/>
      <c r="I29" s="21"/>
    </row>
    <row r="30" customFormat="false" ht="15" hidden="false" customHeight="false" outlineLevel="0" collapsed="false">
      <c r="A30" s="8" t="n">
        <v>3</v>
      </c>
      <c r="B30" s="9" t="n">
        <v>94</v>
      </c>
      <c r="C30" s="11" t="n">
        <f aca="false">$B$5*B30/100</f>
        <v>95.261744966443</v>
      </c>
      <c r="D30" s="13" t="n">
        <f aca="false">'Known values'!$B$3*C30/(C30+'Known values'!$B$4)</f>
        <v>1.60996081666323</v>
      </c>
      <c r="E30" s="11" t="n">
        <f aca="false">(D30-('Known values'!$B$3*$B$5/($B$5+'Known values'!$B$4)))*1000</f>
        <v>-51.0391833367705</v>
      </c>
      <c r="F30" s="20"/>
      <c r="G30" s="21"/>
      <c r="H30" s="21"/>
      <c r="I30" s="21"/>
    </row>
    <row r="31" customFormat="false" ht="15" hidden="false" customHeight="false" outlineLevel="0" collapsed="false">
      <c r="A31" s="8" t="n">
        <v>4</v>
      </c>
      <c r="B31" s="9" t="n">
        <v>96</v>
      </c>
      <c r="C31" s="11" t="n">
        <f aca="false">$B$5*B31/100</f>
        <v>97.2885906040269</v>
      </c>
      <c r="D31" s="13" t="n">
        <f aca="false">'Known values'!$B$3*C31/(C31+'Known values'!$B$4)</f>
        <v>1.62732344536672</v>
      </c>
      <c r="E31" s="11" t="n">
        <f aca="false">(D31-('Known values'!$B$3*$B$5/($B$5+'Known values'!$B$4)))*1000</f>
        <v>-33.6765546332833</v>
      </c>
      <c r="F31" s="20"/>
      <c r="G31" s="21"/>
      <c r="H31" s="21"/>
      <c r="I31" s="21"/>
    </row>
    <row r="32" customFormat="false" ht="15" hidden="false" customHeight="false" outlineLevel="0" collapsed="false">
      <c r="A32" s="8" t="n">
        <v>5</v>
      </c>
      <c r="B32" s="9" t="n">
        <v>97</v>
      </c>
      <c r="C32" s="11" t="n">
        <f aca="false">$B$5*B32/100</f>
        <v>98.3020134228188</v>
      </c>
      <c r="D32" s="13" t="n">
        <f aca="false">'Known values'!$B$3*C32/(C32+'Known values'!$B$4)</f>
        <v>1.63587166209768</v>
      </c>
      <c r="E32" s="11" t="n">
        <f aca="false">(D32-('Known values'!$B$3*$B$5/($B$5+'Known values'!$B$4)))*1000</f>
        <v>-25.1283379023248</v>
      </c>
      <c r="F32" s="20"/>
      <c r="G32" s="21"/>
      <c r="H32" s="21"/>
      <c r="I32" s="21"/>
    </row>
    <row r="33" customFormat="false" ht="15" hidden="false" customHeight="false" outlineLevel="0" collapsed="false">
      <c r="A33" s="8" t="n">
        <v>6</v>
      </c>
      <c r="B33" s="9" t="n">
        <v>98</v>
      </c>
      <c r="C33" s="11" t="n">
        <f aca="false">$B$5*B33/100</f>
        <v>99.3154362416108</v>
      </c>
      <c r="D33" s="13" t="n">
        <f aca="false">'Known values'!$B$3*C33/(C33+'Known values'!$B$4)</f>
        <v>1.64433295171392</v>
      </c>
      <c r="E33" s="11" t="n">
        <f aca="false">(D33-('Known values'!$B$3*$B$5/($B$5+'Known values'!$B$4)))*1000</f>
        <v>-16.66704828608</v>
      </c>
      <c r="F33" s="20"/>
      <c r="G33" s="21"/>
      <c r="H33" s="21"/>
      <c r="I33" s="21"/>
    </row>
    <row r="34" customFormat="false" ht="15" hidden="false" customHeight="false" outlineLevel="0" collapsed="false">
      <c r="A34" s="8" t="n">
        <v>7</v>
      </c>
      <c r="B34" s="9" t="n">
        <v>99</v>
      </c>
      <c r="C34" s="11" t="n">
        <f aca="false">$B$5*B34/100</f>
        <v>100.328859060403</v>
      </c>
      <c r="D34" s="13" t="n">
        <f aca="false">'Known values'!$B$3*C34/(C34+'Known values'!$B$4)</f>
        <v>1.65270863345506</v>
      </c>
      <c r="E34" s="11" t="n">
        <f aca="false">(D34-('Known values'!$B$3*$B$5/($B$5+'Known values'!$B$4)))*1000</f>
        <v>-8.29136654494289</v>
      </c>
      <c r="F34" s="20"/>
      <c r="G34" s="21"/>
      <c r="H34" s="21"/>
      <c r="I34" s="21"/>
    </row>
    <row r="35" customFormat="false" ht="15" hidden="false" customHeight="false" outlineLevel="0" collapsed="false">
      <c r="A35" s="8" t="n">
        <v>8</v>
      </c>
      <c r="B35" s="9" t="n">
        <v>100</v>
      </c>
      <c r="C35" s="11" t="n">
        <f aca="false">$B$5*B35/100</f>
        <v>101.342281879195</v>
      </c>
      <c r="D35" s="13" t="n">
        <f aca="false">'Known values'!$B$3*C35/(C35+'Known values'!$B$4)</f>
        <v>1.661</v>
      </c>
      <c r="E35" s="11" t="n">
        <f aca="false">(D35-('Known values'!$B$3*$B$5/($B$5+'Known values'!$B$4)))*1000</f>
        <v>0</v>
      </c>
      <c r="F35" s="20"/>
      <c r="G35" s="21"/>
      <c r="H35" s="21"/>
      <c r="I35" s="21"/>
    </row>
    <row r="36" customFormat="false" ht="15" hidden="false" customHeight="false" outlineLevel="0" collapsed="false">
      <c r="A36" s="8" t="n">
        <v>9</v>
      </c>
      <c r="B36" s="9" t="n">
        <v>101</v>
      </c>
      <c r="C36" s="11" t="n">
        <f aca="false">$B$5*B36/100</f>
        <v>102.355704697987</v>
      </c>
      <c r="D36" s="13" t="n">
        <f aca="false">'Known values'!$B$3*C36/(C36+'Known values'!$B$4)</f>
        <v>1.66920831813207</v>
      </c>
      <c r="E36" s="11" t="n">
        <f aca="false">(D36-('Known values'!$B$3*$B$5/($B$5+'Known values'!$B$4)))*1000</f>
        <v>8.20831813206824</v>
      </c>
      <c r="F36" s="20"/>
      <c r="G36" s="21"/>
      <c r="H36" s="21"/>
      <c r="I36" s="21"/>
    </row>
    <row r="37" customFormat="false" ht="15" hidden="false" customHeight="false" outlineLevel="0" collapsed="false">
      <c r="A37" s="8" t="n">
        <v>10</v>
      </c>
      <c r="B37" s="9" t="n">
        <v>102</v>
      </c>
      <c r="C37" s="11" t="n">
        <f aca="false">$B$5*B37/100</f>
        <v>103.369127516779</v>
      </c>
      <c r="D37" s="13" t="n">
        <f aca="false">'Known values'!$B$3*C37/(C37+'Known values'!$B$4)</f>
        <v>1.6773348293842</v>
      </c>
      <c r="E37" s="11" t="n">
        <f aca="false">(D37-('Known values'!$B$3*$B$5/($B$5+'Known values'!$B$4)))*1000</f>
        <v>16.3348293841992</v>
      </c>
      <c r="F37" s="20"/>
      <c r="G37" s="21"/>
      <c r="H37" s="21"/>
      <c r="I37" s="21"/>
    </row>
    <row r="38" customFormat="false" ht="15" hidden="false" customHeight="false" outlineLevel="0" collapsed="false">
      <c r="A38" s="8" t="n">
        <v>11</v>
      </c>
      <c r="B38" s="9" t="n">
        <v>103</v>
      </c>
      <c r="C38" s="11" t="n">
        <f aca="false">$B$5*B38/100</f>
        <v>104.38255033557</v>
      </c>
      <c r="D38" s="13" t="n">
        <f aca="false">'Known values'!$B$3*C38/(C38+'Known values'!$B$4)</f>
        <v>1.68538075066496</v>
      </c>
      <c r="E38" s="11" t="n">
        <f aca="false">(D38-('Known values'!$B$3*$B$5/($B$5+'Known values'!$B$4)))*1000</f>
        <v>24.3807506649589</v>
      </c>
      <c r="F38" s="20"/>
      <c r="G38" s="21"/>
      <c r="H38" s="21"/>
      <c r="I38" s="21"/>
    </row>
    <row r="39" customFormat="false" ht="15" hidden="false" customHeight="false" outlineLevel="0" collapsed="false">
      <c r="A39" s="8" t="n">
        <v>12</v>
      </c>
      <c r="B39" s="9" t="n">
        <v>104</v>
      </c>
      <c r="C39" s="11" t="n">
        <f aca="false">$B$5*B39/100</f>
        <v>105.395973154362</v>
      </c>
      <c r="D39" s="13" t="n">
        <f aca="false">'Known values'!$B$3*C39/(C39+'Known values'!$B$4)</f>
        <v>1.69334727486603</v>
      </c>
      <c r="E39" s="11" t="n">
        <f aca="false">(D39-('Known values'!$B$3*$B$5/($B$5+'Known values'!$B$4)))*1000</f>
        <v>32.3472748660307</v>
      </c>
      <c r="F39" s="20"/>
      <c r="G39" s="21"/>
      <c r="H39" s="21"/>
      <c r="I39" s="21"/>
    </row>
    <row r="40" customFormat="false" ht="15" hidden="false" customHeight="false" outlineLevel="0" collapsed="false">
      <c r="A40" s="8" t="n">
        <v>13</v>
      </c>
      <c r="B40" s="9" t="n">
        <v>106</v>
      </c>
      <c r="C40" s="11" t="n">
        <f aca="false">$B$5*B40/100</f>
        <v>107.422818791946</v>
      </c>
      <c r="D40" s="13" t="n">
        <f aca="false">'Known values'!$B$3*C40/(C40+'Known values'!$B$4)</f>
        <v>1.70904678703164</v>
      </c>
      <c r="E40" s="11" t="n">
        <f aca="false">(D40-('Known values'!$B$3*$B$5/($B$5+'Known values'!$B$4)))*1000</f>
        <v>48.0467870316443</v>
      </c>
      <c r="F40" s="20"/>
      <c r="G40" s="21"/>
      <c r="H40" s="21"/>
      <c r="I40" s="21"/>
    </row>
    <row r="41" customFormat="false" ht="15" hidden="false" customHeight="false" outlineLevel="0" collapsed="false">
      <c r="A41" s="8" t="n">
        <v>14</v>
      </c>
      <c r="B41" s="9" t="n">
        <v>108</v>
      </c>
      <c r="C41" s="11" t="n">
        <f aca="false">$B$5*B41/100</f>
        <v>109.44966442953</v>
      </c>
      <c r="D41" s="13" t="n">
        <f aca="false">'Known values'!$B$3*C41/(C41+'Known values'!$B$4)</f>
        <v>1.72444245065368</v>
      </c>
      <c r="E41" s="11" t="n">
        <f aca="false">(D41-('Known values'!$B$3*$B$5/($B$5+'Known values'!$B$4)))*1000</f>
        <v>63.4424506536786</v>
      </c>
      <c r="F41" s="20"/>
      <c r="G41" s="21"/>
      <c r="H41" s="21"/>
      <c r="I41" s="21"/>
    </row>
    <row r="42" customFormat="false" ht="15" hidden="false" customHeight="false" outlineLevel="0" collapsed="false">
      <c r="A42" s="8" t="n">
        <v>15</v>
      </c>
      <c r="B42" s="9" t="n">
        <v>110</v>
      </c>
      <c r="C42" s="11" t="n">
        <f aca="false">$B$5*B42/100</f>
        <v>111.476510067114</v>
      </c>
      <c r="D42" s="13" t="n">
        <f aca="false">'Known values'!$B$3*C42/(C42+'Known values'!$B$4)</f>
        <v>1.73954300222152</v>
      </c>
      <c r="E42" s="11" t="n">
        <f aca="false">(D42-('Known values'!$B$3*$B$5/($B$5+'Known values'!$B$4)))*1000</f>
        <v>78.543002221517</v>
      </c>
      <c r="F42" s="20"/>
      <c r="G42" s="21"/>
      <c r="H42" s="21"/>
      <c r="I42" s="21"/>
    </row>
  </sheetData>
  <dataValidations count="1">
    <dataValidation allowBlank="false" errorStyle="stop" operator="between" showDropDown="false" showErrorMessage="false" showInputMessage="false" sqref="B3" type="list">
      <formula1>'Known values'!$A$8:$A$15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2026-10-27T07:37:21Z</dcterms:created>
  <dc:creator>openpyxl</dc:creator>
  <dc:description/>
  <dc:language>en-US</dc:language>
  <cp:lastModifiedBy/>
  <dcterms:modified xsi:type="dcterms:W3CDTF">2026-10-27T07:37:21Z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